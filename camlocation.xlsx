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D:\dashboared\"/>
    </mc:Choice>
  </mc:AlternateContent>
  <xr:revisionPtr revIDLastSave="0" documentId="13_ncr:1_{A0DF0F6A-DEB3-4F20-ACB8-1DF6E5DD3693}" xr6:coauthVersionLast="47" xr6:coauthVersionMax="47" xr10:uidLastSave="{00000000-0000-0000-0000-000000000000}"/>
  <bookViews>
    <workbookView xWindow="-120" yWindow="-120" windowWidth="29040" windowHeight="15840" tabRatio="557" firstSheet="1" activeTab="1" xr2:uid="{00000000-000D-0000-FFFF-FFFF00000000}"/>
  </bookViews>
  <sheets>
    <sheet name="Sheet1" sheetId="8" state="hidden" r:id="rId1"/>
    <sheet name="الكاميرات" sheetId="10" r:id="rId2"/>
  </sheets>
  <definedNames>
    <definedName name="_xlnm._FilterDatabase" localSheetId="0" hidden="1">Sheet1!$A$1:$P$645</definedName>
    <definedName name="_xlnm._FilterDatabase" localSheetId="1" hidden="1">الكاميرات!$A$1:$F$547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1" i="8" l="1"/>
  <c r="G94" i="8"/>
  <c r="G99" i="8"/>
  <c r="G126" i="8"/>
  <c r="G133" i="8"/>
  <c r="G136" i="8"/>
  <c r="G143" i="8"/>
  <c r="G169" i="8"/>
  <c r="G178" i="8"/>
  <c r="G179" i="8"/>
  <c r="G190" i="8"/>
  <c r="G197" i="8"/>
  <c r="G205" i="8"/>
  <c r="G206" i="8"/>
  <c r="G207" i="8"/>
  <c r="G216" i="8"/>
  <c r="G229" i="8"/>
  <c r="G230" i="8"/>
  <c r="G232" i="8"/>
  <c r="G239" i="8"/>
  <c r="G257" i="8"/>
  <c r="G263" i="8"/>
  <c r="G289" i="8"/>
  <c r="G300" i="8"/>
  <c r="G312" i="8"/>
  <c r="G328" i="8"/>
  <c r="G329" i="8"/>
  <c r="G342" i="8"/>
  <c r="G344" i="8"/>
  <c r="G368" i="8"/>
  <c r="G380" i="8"/>
  <c r="G436" i="8"/>
  <c r="G444" i="8"/>
  <c r="G459" i="8"/>
  <c r="G463" i="8"/>
  <c r="G464" i="8"/>
  <c r="G60" i="8"/>
  <c r="F61" i="8"/>
  <c r="F94" i="8"/>
  <c r="F99" i="8"/>
  <c r="F126" i="8"/>
  <c r="F133" i="8"/>
  <c r="F136" i="8"/>
  <c r="F143" i="8"/>
  <c r="F169" i="8"/>
  <c r="F178" i="8"/>
  <c r="F179" i="8"/>
  <c r="F190" i="8"/>
  <c r="F197" i="8"/>
  <c r="F205" i="8"/>
  <c r="F206" i="8"/>
  <c r="F207" i="8"/>
  <c r="F216" i="8"/>
  <c r="F229" i="8"/>
  <c r="F230" i="8"/>
  <c r="F232" i="8"/>
  <c r="F239" i="8"/>
  <c r="F257" i="8"/>
  <c r="F263" i="8"/>
  <c r="F289" i="8"/>
  <c r="F300" i="8"/>
  <c r="F312" i="8"/>
  <c r="F328" i="8"/>
  <c r="F329" i="8"/>
  <c r="F342" i="8"/>
  <c r="F344" i="8"/>
  <c r="F368" i="8"/>
  <c r="F380" i="8"/>
  <c r="F436" i="8"/>
  <c r="F444" i="8"/>
  <c r="F459" i="8"/>
  <c r="F463" i="8"/>
  <c r="F464" i="8"/>
  <c r="F60" i="8"/>
  <c r="E136" i="8"/>
  <c r="F34" i="8"/>
  <c r="E34" i="8"/>
  <c r="G79" i="8"/>
  <c r="E79" i="8"/>
  <c r="F88" i="8"/>
  <c r="E14" i="8"/>
  <c r="G53" i="8"/>
  <c r="F53" i="8"/>
  <c r="G159" i="8"/>
  <c r="F159" i="8"/>
  <c r="G467" i="8"/>
  <c r="G465" i="8"/>
  <c r="G445" i="8"/>
  <c r="G443" i="8"/>
  <c r="G442" i="8"/>
  <c r="G441" i="8"/>
  <c r="G439" i="8"/>
  <c r="G438" i="8"/>
  <c r="G437" i="8"/>
  <c r="G435" i="8"/>
  <c r="G434" i="8"/>
  <c r="G433" i="8"/>
  <c r="G419" i="8"/>
  <c r="G413" i="8"/>
  <c r="G382" i="8"/>
  <c r="G381" i="8"/>
  <c r="G370" i="8"/>
  <c r="G369" i="8"/>
  <c r="G357" i="8"/>
  <c r="G356" i="8"/>
  <c r="G353" i="8"/>
  <c r="G343" i="8"/>
  <c r="G315" i="8"/>
  <c r="G311" i="8"/>
  <c r="G310" i="8"/>
  <c r="G309" i="8"/>
  <c r="G307" i="8"/>
  <c r="G306" i="8"/>
  <c r="G305" i="8"/>
  <c r="G304" i="8"/>
  <c r="G299" i="8"/>
  <c r="G298" i="8"/>
  <c r="G245" i="8"/>
  <c r="G244" i="8"/>
  <c r="G242" i="8"/>
  <c r="G241" i="8"/>
  <c r="G234" i="8"/>
  <c r="G233" i="8"/>
  <c r="G228" i="8"/>
  <c r="G227" i="8"/>
  <c r="G226" i="8"/>
  <c r="G225" i="8"/>
  <c r="G224" i="8"/>
  <c r="G217" i="8"/>
  <c r="G201" i="8"/>
  <c r="G199" i="8"/>
  <c r="G198" i="8"/>
  <c r="G188" i="8"/>
  <c r="G187" i="8"/>
  <c r="G186" i="8"/>
  <c r="G185" i="8"/>
  <c r="G177" i="8"/>
  <c r="G174" i="8"/>
  <c r="G150" i="8"/>
  <c r="G137" i="8"/>
  <c r="G124" i="8"/>
  <c r="G122" i="8"/>
  <c r="G118" i="8"/>
  <c r="G117" i="8"/>
  <c r="G111" i="8"/>
  <c r="G86" i="8"/>
  <c r="G85" i="8"/>
  <c r="G84" i="8"/>
  <c r="G80" i="8"/>
  <c r="G76" i="8"/>
  <c r="G70" i="8"/>
  <c r="G56" i="8"/>
  <c r="G44" i="8"/>
  <c r="G43" i="8"/>
  <c r="G26" i="8"/>
  <c r="G25" i="8"/>
  <c r="G38" i="8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7" i="8"/>
  <c r="G28" i="8"/>
  <c r="G29" i="8"/>
  <c r="G30" i="8"/>
  <c r="G31" i="8"/>
  <c r="G32" i="8"/>
  <c r="G33" i="8"/>
  <c r="G35" i="8"/>
  <c r="G36" i="8"/>
  <c r="G37" i="8"/>
  <c r="G39" i="8"/>
  <c r="G40" i="8"/>
  <c r="G41" i="8"/>
  <c r="G42" i="8"/>
  <c r="G45" i="8"/>
  <c r="G46" i="8"/>
  <c r="G47" i="8"/>
  <c r="G48" i="8"/>
  <c r="G49" i="8"/>
  <c r="G50" i="8"/>
  <c r="G51" i="8"/>
  <c r="G52" i="8"/>
  <c r="G54" i="8"/>
  <c r="G55" i="8"/>
  <c r="G57" i="8"/>
  <c r="G58" i="8"/>
  <c r="G59" i="8"/>
  <c r="G62" i="8"/>
  <c r="G63" i="8"/>
  <c r="G64" i="8"/>
  <c r="G65" i="8"/>
  <c r="G66" i="8"/>
  <c r="G67" i="8"/>
  <c r="G68" i="8"/>
  <c r="G69" i="8"/>
  <c r="G71" i="8"/>
  <c r="G72" i="8"/>
  <c r="G73" i="8"/>
  <c r="G74" i="8"/>
  <c r="G75" i="8"/>
  <c r="G77" i="8"/>
  <c r="G78" i="8"/>
  <c r="G81" i="8"/>
  <c r="G82" i="8"/>
  <c r="G83" i="8"/>
  <c r="G87" i="8"/>
  <c r="G88" i="8"/>
  <c r="G89" i="8"/>
  <c r="G90" i="8"/>
  <c r="G91" i="8"/>
  <c r="G92" i="8"/>
  <c r="G93" i="8"/>
  <c r="G95" i="8"/>
  <c r="G96" i="8"/>
  <c r="G97" i="8"/>
  <c r="G98" i="8"/>
  <c r="G100" i="8"/>
  <c r="G101" i="8"/>
  <c r="G102" i="8"/>
  <c r="G103" i="8"/>
  <c r="G104" i="8"/>
  <c r="G105" i="8"/>
  <c r="G106" i="8"/>
  <c r="G107" i="8"/>
  <c r="G108" i="8"/>
  <c r="G109" i="8"/>
  <c r="G110" i="8"/>
  <c r="G112" i="8"/>
  <c r="G113" i="8"/>
  <c r="G114" i="8"/>
  <c r="G115" i="8"/>
  <c r="G116" i="8"/>
  <c r="G119" i="8"/>
  <c r="G120" i="8"/>
  <c r="G121" i="8"/>
  <c r="G123" i="8"/>
  <c r="G125" i="8"/>
  <c r="G127" i="8"/>
  <c r="G128" i="8"/>
  <c r="G129" i="8"/>
  <c r="G130" i="8"/>
  <c r="G131" i="8"/>
  <c r="G132" i="8"/>
  <c r="G134" i="8"/>
  <c r="G135" i="8"/>
  <c r="G138" i="8"/>
  <c r="G139" i="8"/>
  <c r="G140" i="8"/>
  <c r="G141" i="8"/>
  <c r="G142" i="8"/>
  <c r="G144" i="8"/>
  <c r="G145" i="8"/>
  <c r="G146" i="8"/>
  <c r="G147" i="8"/>
  <c r="G148" i="8"/>
  <c r="G149" i="8"/>
  <c r="G151" i="8"/>
  <c r="G152" i="8"/>
  <c r="G153" i="8"/>
  <c r="G154" i="8"/>
  <c r="G155" i="8"/>
  <c r="G156" i="8"/>
  <c r="G157" i="8"/>
  <c r="G158" i="8"/>
  <c r="G160" i="8"/>
  <c r="G161" i="8"/>
  <c r="G162" i="8"/>
  <c r="G163" i="8"/>
  <c r="G164" i="8"/>
  <c r="G165" i="8"/>
  <c r="G166" i="8"/>
  <c r="G167" i="8"/>
  <c r="G168" i="8"/>
  <c r="G170" i="8"/>
  <c r="G171" i="8"/>
  <c r="G172" i="8"/>
  <c r="G173" i="8"/>
  <c r="G175" i="8"/>
  <c r="G176" i="8"/>
  <c r="G180" i="8"/>
  <c r="G181" i="8"/>
  <c r="G182" i="8"/>
  <c r="G183" i="8"/>
  <c r="G184" i="8"/>
  <c r="G189" i="8"/>
  <c r="G191" i="8"/>
  <c r="G192" i="8"/>
  <c r="G193" i="8"/>
  <c r="G194" i="8"/>
  <c r="G195" i="8"/>
  <c r="G196" i="8"/>
  <c r="G200" i="8"/>
  <c r="G202" i="8"/>
  <c r="G203" i="8"/>
  <c r="G204" i="8"/>
  <c r="G208" i="8"/>
  <c r="G209" i="8"/>
  <c r="G210" i="8"/>
  <c r="G211" i="8"/>
  <c r="G212" i="8"/>
  <c r="G213" i="8"/>
  <c r="G214" i="8"/>
  <c r="G215" i="8"/>
  <c r="G218" i="8"/>
  <c r="G219" i="8"/>
  <c r="G220" i="8"/>
  <c r="G221" i="8"/>
  <c r="G222" i="8"/>
  <c r="G223" i="8"/>
  <c r="G231" i="8"/>
  <c r="G235" i="8"/>
  <c r="G236" i="8"/>
  <c r="G237" i="8"/>
  <c r="G238" i="8"/>
  <c r="G240" i="8"/>
  <c r="G243" i="8"/>
  <c r="G246" i="8"/>
  <c r="G247" i="8"/>
  <c r="G248" i="8"/>
  <c r="G249" i="8"/>
  <c r="G250" i="8"/>
  <c r="G251" i="8"/>
  <c r="G252" i="8"/>
  <c r="G253" i="8"/>
  <c r="G254" i="8"/>
  <c r="G255" i="8"/>
  <c r="G256" i="8"/>
  <c r="G258" i="8"/>
  <c r="G259" i="8"/>
  <c r="G260" i="8"/>
  <c r="G261" i="8"/>
  <c r="G262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90" i="8"/>
  <c r="G291" i="8"/>
  <c r="G292" i="8"/>
  <c r="G293" i="8"/>
  <c r="G294" i="8"/>
  <c r="G295" i="8"/>
  <c r="G296" i="8"/>
  <c r="G297" i="8"/>
  <c r="G301" i="8"/>
  <c r="G302" i="8"/>
  <c r="G303" i="8"/>
  <c r="G308" i="8"/>
  <c r="G313" i="8"/>
  <c r="G314" i="8"/>
  <c r="G316" i="8"/>
  <c r="G317" i="8"/>
  <c r="G318" i="8"/>
  <c r="G319" i="8"/>
  <c r="G320" i="8"/>
  <c r="G321" i="8"/>
  <c r="G322" i="8"/>
  <c r="G323" i="8"/>
  <c r="G324" i="8"/>
  <c r="G325" i="8"/>
  <c r="G326" i="8"/>
  <c r="G327" i="8"/>
  <c r="G330" i="8"/>
  <c r="G331" i="8"/>
  <c r="G332" i="8"/>
  <c r="G333" i="8"/>
  <c r="G334" i="8"/>
  <c r="G335" i="8"/>
  <c r="G336" i="8"/>
  <c r="G337" i="8"/>
  <c r="G338" i="8"/>
  <c r="G339" i="8"/>
  <c r="G340" i="8"/>
  <c r="G341" i="8"/>
  <c r="G345" i="8"/>
  <c r="G346" i="8"/>
  <c r="G347" i="8"/>
  <c r="G348" i="8"/>
  <c r="G349" i="8"/>
  <c r="G350" i="8"/>
  <c r="G351" i="8"/>
  <c r="G352" i="8"/>
  <c r="G354" i="8"/>
  <c r="G355" i="8"/>
  <c r="G358" i="8"/>
  <c r="G359" i="8"/>
  <c r="G360" i="8"/>
  <c r="G361" i="8"/>
  <c r="G362" i="8"/>
  <c r="G363" i="8"/>
  <c r="G364" i="8"/>
  <c r="G365" i="8"/>
  <c r="G366" i="8"/>
  <c r="G367" i="8"/>
  <c r="G371" i="8"/>
  <c r="G372" i="8"/>
  <c r="G373" i="8"/>
  <c r="G374" i="8"/>
  <c r="G375" i="8"/>
  <c r="G376" i="8"/>
  <c r="G377" i="8"/>
  <c r="G378" i="8"/>
  <c r="G379" i="8"/>
  <c r="G383" i="8"/>
  <c r="G384" i="8"/>
  <c r="G385" i="8"/>
  <c r="G386" i="8"/>
  <c r="G387" i="8"/>
  <c r="G388" i="8"/>
  <c r="G389" i="8"/>
  <c r="G390" i="8"/>
  <c r="G391" i="8"/>
  <c r="G392" i="8"/>
  <c r="G393" i="8"/>
  <c r="G394" i="8"/>
  <c r="G395" i="8"/>
  <c r="G396" i="8"/>
  <c r="G397" i="8"/>
  <c r="G398" i="8"/>
  <c r="G399" i="8"/>
  <c r="G400" i="8"/>
  <c r="G401" i="8"/>
  <c r="G402" i="8"/>
  <c r="G403" i="8"/>
  <c r="G404" i="8"/>
  <c r="G405" i="8"/>
  <c r="G406" i="8"/>
  <c r="G407" i="8"/>
  <c r="G408" i="8"/>
  <c r="G409" i="8"/>
  <c r="G410" i="8"/>
  <c r="G411" i="8"/>
  <c r="G412" i="8"/>
  <c r="G414" i="8"/>
  <c r="G415" i="8"/>
  <c r="G416" i="8"/>
  <c r="G417" i="8"/>
  <c r="G418" i="8"/>
  <c r="G420" i="8"/>
  <c r="G421" i="8"/>
  <c r="G422" i="8"/>
  <c r="G423" i="8"/>
  <c r="G424" i="8"/>
  <c r="G425" i="8"/>
  <c r="G426" i="8"/>
  <c r="G427" i="8"/>
  <c r="G428" i="8"/>
  <c r="G429" i="8"/>
  <c r="G430" i="8"/>
  <c r="G431" i="8"/>
  <c r="G432" i="8"/>
  <c r="G440" i="8"/>
  <c r="G446" i="8"/>
  <c r="G447" i="8"/>
  <c r="G448" i="8"/>
  <c r="G449" i="8"/>
  <c r="G450" i="8"/>
  <c r="G451" i="8"/>
  <c r="G452" i="8"/>
  <c r="G453" i="8"/>
  <c r="G454" i="8"/>
  <c r="G455" i="8"/>
  <c r="G456" i="8"/>
  <c r="G457" i="8"/>
  <c r="G458" i="8"/>
  <c r="G460" i="8"/>
  <c r="G461" i="8"/>
  <c r="G462" i="8"/>
  <c r="G466" i="8"/>
  <c r="G2" i="8"/>
  <c r="F337" i="8"/>
  <c r="F39" i="8"/>
  <c r="F40" i="8"/>
  <c r="F41" i="8"/>
  <c r="F42" i="8"/>
  <c r="F47" i="8"/>
  <c r="F48" i="8"/>
  <c r="F52" i="8"/>
  <c r="F54" i="8"/>
  <c r="F67" i="8"/>
  <c r="F68" i="8"/>
  <c r="F69" i="8"/>
  <c r="F71" i="8"/>
  <c r="F74" i="8"/>
  <c r="F75" i="8"/>
  <c r="F77" i="8"/>
  <c r="F87" i="8"/>
  <c r="F90" i="8"/>
  <c r="F91" i="8"/>
  <c r="F93" i="8"/>
  <c r="F96" i="8"/>
  <c r="F105" i="8"/>
  <c r="F109" i="8"/>
  <c r="F110" i="8"/>
  <c r="F121" i="8"/>
  <c r="F132" i="8"/>
  <c r="F139" i="8"/>
  <c r="F140" i="8"/>
  <c r="F144" i="8"/>
  <c r="F162" i="8"/>
  <c r="F163" i="8"/>
  <c r="F164" i="8"/>
  <c r="F165" i="8"/>
  <c r="F166" i="8"/>
  <c r="F167" i="8"/>
  <c r="F168" i="8"/>
  <c r="F180" i="8"/>
  <c r="F192" i="8"/>
  <c r="F193" i="8"/>
  <c r="F194" i="8"/>
  <c r="F195" i="8"/>
  <c r="F196" i="8"/>
  <c r="F203" i="8"/>
  <c r="F204" i="8"/>
  <c r="F208" i="8"/>
  <c r="F209" i="8"/>
  <c r="F210" i="8"/>
  <c r="F211" i="8"/>
  <c r="F212" i="8"/>
  <c r="F246" i="8"/>
  <c r="F247" i="8"/>
  <c r="F248" i="8"/>
  <c r="F249" i="8"/>
  <c r="F250" i="8"/>
  <c r="F251" i="8"/>
  <c r="F252" i="8"/>
  <c r="F253" i="8"/>
  <c r="F255" i="8"/>
  <c r="F256" i="8"/>
  <c r="F259" i="8"/>
  <c r="F260" i="8"/>
  <c r="F261" i="8"/>
  <c r="F262" i="8"/>
  <c r="F264" i="8"/>
  <c r="F265" i="8"/>
  <c r="F266" i="8"/>
  <c r="F267" i="8"/>
  <c r="F268" i="8"/>
  <c r="F269" i="8"/>
  <c r="F270" i="8"/>
  <c r="F271" i="8"/>
  <c r="F272" i="8"/>
  <c r="F273" i="8"/>
  <c r="F278" i="8"/>
  <c r="F279" i="8"/>
  <c r="F280" i="8"/>
  <c r="F281" i="8"/>
  <c r="F282" i="8"/>
  <c r="F284" i="8"/>
  <c r="F285" i="8"/>
  <c r="F290" i="8"/>
  <c r="F291" i="8"/>
  <c r="F292" i="8"/>
  <c r="F293" i="8"/>
  <c r="F294" i="8"/>
  <c r="F295" i="8"/>
  <c r="F296" i="8"/>
  <c r="F297" i="8"/>
  <c r="F301" i="8"/>
  <c r="F313" i="8"/>
  <c r="F316" i="8"/>
  <c r="F319" i="8"/>
  <c r="F320" i="8"/>
  <c r="F321" i="8"/>
  <c r="F322" i="8"/>
  <c r="F323" i="8"/>
  <c r="F324" i="8"/>
  <c r="F325" i="8"/>
  <c r="F326" i="8"/>
  <c r="F338" i="8"/>
  <c r="F339" i="8"/>
  <c r="F340" i="8"/>
  <c r="F341" i="8"/>
  <c r="F345" i="8"/>
  <c r="F346" i="8"/>
  <c r="F347" i="8"/>
  <c r="F348" i="8"/>
  <c r="F349" i="8"/>
  <c r="F350" i="8"/>
  <c r="F351" i="8"/>
  <c r="F352" i="8"/>
  <c r="F359" i="8"/>
  <c r="F360" i="8"/>
  <c r="F361" i="8"/>
  <c r="F362" i="8"/>
  <c r="F363" i="8"/>
  <c r="F364" i="8"/>
  <c r="F365" i="8"/>
  <c r="F366" i="8"/>
  <c r="F367" i="8"/>
  <c r="F371" i="8"/>
  <c r="F372" i="8"/>
  <c r="F373" i="8"/>
  <c r="F374" i="8"/>
  <c r="F375" i="8"/>
  <c r="F376" i="8"/>
  <c r="F377" i="8"/>
  <c r="F378" i="8"/>
  <c r="F379" i="8"/>
  <c r="F392" i="8"/>
  <c r="F393" i="8"/>
  <c r="F394" i="8"/>
  <c r="F395" i="8"/>
  <c r="F396" i="8"/>
  <c r="F397" i="8"/>
  <c r="F398" i="8"/>
  <c r="F399" i="8"/>
  <c r="F400" i="8"/>
  <c r="F401" i="8"/>
  <c r="F402" i="8"/>
  <c r="F403" i="8"/>
  <c r="F404" i="8"/>
  <c r="F405" i="8"/>
  <c r="F406" i="8"/>
  <c r="F407" i="8"/>
  <c r="F408" i="8"/>
  <c r="F409" i="8"/>
  <c r="F410" i="8"/>
  <c r="F420" i="8"/>
  <c r="F421" i="8"/>
  <c r="F422" i="8"/>
  <c r="F423" i="8"/>
  <c r="F424" i="8"/>
  <c r="F425" i="8"/>
  <c r="F426" i="8"/>
  <c r="F427" i="8"/>
  <c r="F428" i="8"/>
  <c r="F429" i="8"/>
  <c r="F430" i="8"/>
  <c r="F432" i="8"/>
  <c r="F446" i="8"/>
  <c r="F447" i="8"/>
  <c r="F448" i="8"/>
  <c r="F449" i="8"/>
  <c r="F450" i="8"/>
  <c r="F451" i="8"/>
  <c r="F452" i="8"/>
  <c r="F453" i="8"/>
  <c r="F456" i="8"/>
  <c r="F457" i="8"/>
  <c r="F458" i="8"/>
  <c r="F37" i="8"/>
  <c r="E93" i="8"/>
  <c r="E96" i="8"/>
  <c r="E105" i="8"/>
  <c r="E109" i="8"/>
  <c r="E110" i="8"/>
  <c r="E121" i="8"/>
  <c r="E132" i="8"/>
  <c r="E139" i="8"/>
  <c r="E140" i="8"/>
  <c r="E144" i="8"/>
  <c r="E162" i="8"/>
  <c r="E163" i="8"/>
  <c r="E164" i="8"/>
  <c r="E165" i="8"/>
  <c r="E166" i="8"/>
  <c r="E167" i="8"/>
  <c r="E168" i="8"/>
  <c r="E180" i="8"/>
  <c r="E192" i="8"/>
  <c r="E193" i="8"/>
  <c r="E194" i="8"/>
  <c r="E195" i="8"/>
  <c r="E196" i="8"/>
  <c r="E203" i="8"/>
  <c r="E204" i="8"/>
  <c r="E208" i="8"/>
  <c r="E209" i="8"/>
  <c r="E210" i="8"/>
  <c r="E211" i="8"/>
  <c r="E212" i="8"/>
  <c r="E246" i="8"/>
  <c r="E247" i="8"/>
  <c r="E248" i="8"/>
  <c r="E249" i="8"/>
  <c r="E250" i="8"/>
  <c r="E251" i="8"/>
  <c r="E252" i="8"/>
  <c r="E253" i="8"/>
  <c r="E255" i="8"/>
  <c r="E256" i="8"/>
  <c r="E259" i="8"/>
  <c r="E260" i="8"/>
  <c r="E261" i="8"/>
  <c r="E262" i="8"/>
  <c r="E264" i="8"/>
  <c r="E265" i="8"/>
  <c r="E266" i="8"/>
  <c r="E267" i="8"/>
  <c r="E268" i="8"/>
  <c r="E269" i="8"/>
  <c r="E270" i="8"/>
  <c r="E271" i="8"/>
  <c r="E272" i="8"/>
  <c r="E273" i="8"/>
  <c r="E278" i="8"/>
  <c r="E279" i="8"/>
  <c r="E280" i="8"/>
  <c r="E281" i="8"/>
  <c r="E282" i="8"/>
  <c r="E284" i="8"/>
  <c r="E285" i="8"/>
  <c r="E290" i="8"/>
  <c r="E291" i="8"/>
  <c r="E292" i="8"/>
  <c r="E293" i="8"/>
  <c r="E294" i="8"/>
  <c r="E295" i="8"/>
  <c r="E296" i="8"/>
  <c r="E297" i="8"/>
  <c r="E301" i="8"/>
  <c r="E313" i="8"/>
  <c r="E316" i="8"/>
  <c r="E319" i="8"/>
  <c r="E320" i="8"/>
  <c r="E321" i="8"/>
  <c r="E322" i="8"/>
  <c r="E323" i="8"/>
  <c r="E324" i="8"/>
  <c r="E325" i="8"/>
  <c r="E326" i="8"/>
  <c r="E338" i="8"/>
  <c r="E339" i="8"/>
  <c r="E340" i="8"/>
  <c r="E341" i="8"/>
  <c r="E345" i="8"/>
  <c r="E346" i="8"/>
  <c r="E347" i="8"/>
  <c r="E348" i="8"/>
  <c r="E349" i="8"/>
  <c r="E350" i="8"/>
  <c r="E351" i="8"/>
  <c r="E352" i="8"/>
  <c r="E359" i="8"/>
  <c r="E360" i="8"/>
  <c r="E361" i="8"/>
  <c r="E362" i="8"/>
  <c r="E363" i="8"/>
  <c r="E364" i="8"/>
  <c r="E365" i="8"/>
  <c r="E366" i="8"/>
  <c r="E367" i="8"/>
  <c r="E371" i="8"/>
  <c r="E372" i="8"/>
  <c r="E373" i="8"/>
  <c r="E374" i="8"/>
  <c r="E375" i="8"/>
  <c r="E376" i="8"/>
  <c r="E377" i="8"/>
  <c r="E378" i="8"/>
  <c r="E379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20" i="8"/>
  <c r="E421" i="8"/>
  <c r="E422" i="8"/>
  <c r="E423" i="8"/>
  <c r="E424" i="8"/>
  <c r="E425" i="8"/>
  <c r="E426" i="8"/>
  <c r="E427" i="8"/>
  <c r="E428" i="8"/>
  <c r="E429" i="8"/>
  <c r="E430" i="8"/>
  <c r="E432" i="8"/>
  <c r="E446" i="8"/>
  <c r="E447" i="8"/>
  <c r="E448" i="8"/>
  <c r="E449" i="8"/>
  <c r="E450" i="8"/>
  <c r="E451" i="8"/>
  <c r="E452" i="8"/>
  <c r="E453" i="8"/>
  <c r="E456" i="8"/>
  <c r="E457" i="8"/>
  <c r="E458" i="8"/>
  <c r="E39" i="8"/>
  <c r="E40" i="8"/>
  <c r="E41" i="8"/>
  <c r="E42" i="8"/>
  <c r="E47" i="8"/>
  <c r="E48" i="8"/>
  <c r="E52" i="8"/>
  <c r="E54" i="8"/>
  <c r="E67" i="8"/>
  <c r="E68" i="8"/>
  <c r="E69" i="8"/>
  <c r="E71" i="8"/>
  <c r="E74" i="8"/>
  <c r="E75" i="8"/>
  <c r="E77" i="8"/>
  <c r="E87" i="8"/>
  <c r="E90" i="8"/>
  <c r="E91" i="8"/>
  <c r="E37" i="8"/>
  <c r="F455" i="8"/>
  <c r="F454" i="8"/>
  <c r="F431" i="8"/>
  <c r="F243" i="8"/>
  <c r="F223" i="8"/>
  <c r="F222" i="8"/>
  <c r="F220" i="8"/>
  <c r="F89" i="8"/>
  <c r="F467" i="8"/>
  <c r="F465" i="8"/>
  <c r="F445" i="8"/>
  <c r="F443" i="8"/>
  <c r="F442" i="8"/>
  <c r="F441" i="8"/>
  <c r="F440" i="8"/>
  <c r="F439" i="8"/>
  <c r="F438" i="8"/>
  <c r="F437" i="8"/>
  <c r="F435" i="8"/>
  <c r="F434" i="8"/>
  <c r="F433" i="8"/>
  <c r="F419" i="8"/>
  <c r="F413" i="8"/>
  <c r="F386" i="8"/>
  <c r="F382" i="8"/>
  <c r="F381" i="8"/>
  <c r="F370" i="8"/>
  <c r="F369" i="8"/>
  <c r="F357" i="8"/>
  <c r="F356" i="8"/>
  <c r="F355" i="8"/>
  <c r="F353" i="8"/>
  <c r="F343" i="8"/>
  <c r="F315" i="8"/>
  <c r="F311" i="8"/>
  <c r="F310" i="8"/>
  <c r="F309" i="8"/>
  <c r="F307" i="8"/>
  <c r="F306" i="8"/>
  <c r="F305" i="8"/>
  <c r="F304" i="8"/>
  <c r="F299" i="8"/>
  <c r="F298" i="8"/>
  <c r="F288" i="8"/>
  <c r="F245" i="8"/>
  <c r="F244" i="8"/>
  <c r="F242" i="8"/>
  <c r="F241" i="8"/>
  <c r="F234" i="8"/>
  <c r="F233" i="8"/>
  <c r="F228" i="8"/>
  <c r="F227" i="8"/>
  <c r="F226" i="8"/>
  <c r="F225" i="8"/>
  <c r="F224" i="8"/>
  <c r="F217" i="8"/>
  <c r="F201" i="8"/>
  <c r="F199" i="8"/>
  <c r="F198" i="8"/>
  <c r="F188" i="8"/>
  <c r="F187" i="8"/>
  <c r="F186" i="8"/>
  <c r="F185" i="8"/>
  <c r="F177" i="8"/>
  <c r="F174" i="8"/>
  <c r="F170" i="8"/>
  <c r="F150" i="8"/>
  <c r="F142" i="8"/>
  <c r="F137" i="8"/>
  <c r="F124" i="8"/>
  <c r="F122" i="8"/>
  <c r="F118" i="8"/>
  <c r="F117" i="8"/>
  <c r="F111" i="8"/>
  <c r="F97" i="8"/>
  <c r="F86" i="8"/>
  <c r="F85" i="8"/>
  <c r="F84" i="8"/>
  <c r="F80" i="8"/>
  <c r="F79" i="8"/>
  <c r="F76" i="8"/>
  <c r="F70" i="8"/>
  <c r="F56" i="8"/>
  <c r="F51" i="8"/>
  <c r="F44" i="8"/>
  <c r="F43" i="8"/>
  <c r="F38" i="8"/>
  <c r="F26" i="8"/>
  <c r="F25" i="8"/>
  <c r="E63" i="8"/>
  <c r="E101" i="8"/>
  <c r="E302" i="8"/>
  <c r="E303" i="8"/>
  <c r="E308" i="8"/>
  <c r="E86" i="8"/>
  <c r="E85" i="8"/>
  <c r="E356" i="8"/>
  <c r="E201" i="8"/>
  <c r="E88" i="8"/>
  <c r="E337" i="8"/>
  <c r="E431" i="8"/>
  <c r="E454" i="8"/>
  <c r="E455" i="8"/>
  <c r="E89" i="8"/>
  <c r="E220" i="8"/>
  <c r="E222" i="8"/>
  <c r="E223" i="8"/>
  <c r="E243" i="8"/>
  <c r="E35" i="8"/>
  <c r="E36" i="8"/>
  <c r="E30" i="8"/>
  <c r="E31" i="8"/>
  <c r="E32" i="8"/>
  <c r="E33" i="8"/>
  <c r="E3" i="8"/>
  <c r="E4" i="8"/>
  <c r="E5" i="8"/>
  <c r="E6" i="8"/>
  <c r="E7" i="8"/>
  <c r="E8" i="8"/>
  <c r="E9" i="8"/>
  <c r="E10" i="8"/>
  <c r="E11" i="8"/>
  <c r="E12" i="8"/>
  <c r="E13" i="8"/>
  <c r="E16" i="8"/>
  <c r="E17" i="8"/>
  <c r="E18" i="8"/>
  <c r="E19" i="8"/>
  <c r="E20" i="8"/>
  <c r="E21" i="8"/>
  <c r="E22" i="8"/>
  <c r="E23" i="8"/>
  <c r="E24" i="8"/>
  <c r="E27" i="8"/>
  <c r="E28" i="8"/>
  <c r="E29" i="8"/>
  <c r="E45" i="8"/>
  <c r="E46" i="8"/>
  <c r="E49" i="8"/>
  <c r="E50" i="8"/>
  <c r="E55" i="8"/>
  <c r="E57" i="8"/>
  <c r="E59" i="8"/>
  <c r="E62" i="8"/>
  <c r="E65" i="8"/>
  <c r="E66" i="8"/>
  <c r="E72" i="8"/>
  <c r="E73" i="8"/>
  <c r="E78" i="8"/>
  <c r="E81" i="8"/>
  <c r="E82" i="8"/>
  <c r="E83" i="8"/>
  <c r="E92" i="8"/>
  <c r="E95" i="8"/>
  <c r="E97" i="8"/>
  <c r="E98" i="8"/>
  <c r="E100" i="8"/>
  <c r="E102" i="8"/>
  <c r="E103" i="8"/>
  <c r="E104" i="8"/>
  <c r="E106" i="8"/>
  <c r="E107" i="8"/>
  <c r="E108" i="8"/>
  <c r="E112" i="8"/>
  <c r="E113" i="8"/>
  <c r="E114" i="8"/>
  <c r="E115" i="8"/>
  <c r="E116" i="8"/>
  <c r="E119" i="8"/>
  <c r="E120" i="8"/>
  <c r="E123" i="8"/>
  <c r="E125" i="8"/>
  <c r="E127" i="8"/>
  <c r="E128" i="8"/>
  <c r="E129" i="8"/>
  <c r="E130" i="8"/>
  <c r="E131" i="8"/>
  <c r="E134" i="8"/>
  <c r="E135" i="8"/>
  <c r="E138" i="8"/>
  <c r="E141" i="8"/>
  <c r="E145" i="8"/>
  <c r="E146" i="8"/>
  <c r="E147" i="8"/>
  <c r="E148" i="8"/>
  <c r="E149" i="8"/>
  <c r="E151" i="8"/>
  <c r="E152" i="8"/>
  <c r="E153" i="8"/>
  <c r="E154" i="8"/>
  <c r="E155" i="8"/>
  <c r="E156" i="8"/>
  <c r="E157" i="8"/>
  <c r="E158" i="8"/>
  <c r="E160" i="8"/>
  <c r="E161" i="8"/>
  <c r="E171" i="8"/>
  <c r="E172" i="8"/>
  <c r="E173" i="8"/>
  <c r="E175" i="8"/>
  <c r="E176" i="8"/>
  <c r="E181" i="8"/>
  <c r="E182" i="8"/>
  <c r="E183" i="8"/>
  <c r="E184" i="8"/>
  <c r="E189" i="8"/>
  <c r="E191" i="8"/>
  <c r="E200" i="8"/>
  <c r="E202" i="8"/>
  <c r="E213" i="8"/>
  <c r="E214" i="8"/>
  <c r="E215" i="8"/>
  <c r="E218" i="8"/>
  <c r="E219" i="8"/>
  <c r="E221" i="8"/>
  <c r="E231" i="8"/>
  <c r="E235" i="8"/>
  <c r="E236" i="8"/>
  <c r="E237" i="8"/>
  <c r="E238" i="8"/>
  <c r="E240" i="8"/>
  <c r="E254" i="8"/>
  <c r="E258" i="8"/>
  <c r="E274" i="8"/>
  <c r="E275" i="8"/>
  <c r="E276" i="8"/>
  <c r="E277" i="8"/>
  <c r="E283" i="8"/>
  <c r="E286" i="8"/>
  <c r="E287" i="8"/>
  <c r="E314" i="8"/>
  <c r="E317" i="8"/>
  <c r="E318" i="8"/>
  <c r="E327" i="8"/>
  <c r="E330" i="8"/>
  <c r="E331" i="8"/>
  <c r="E332" i="8"/>
  <c r="E333" i="8"/>
  <c r="E334" i="8"/>
  <c r="E335" i="8"/>
  <c r="E336" i="8"/>
  <c r="E354" i="8"/>
  <c r="E358" i="8"/>
  <c r="E383" i="8"/>
  <c r="E384" i="8"/>
  <c r="E385" i="8"/>
  <c r="E387" i="8"/>
  <c r="E388" i="8"/>
  <c r="E389" i="8"/>
  <c r="E390" i="8"/>
  <c r="E391" i="8"/>
  <c r="E411" i="8"/>
  <c r="E412" i="8"/>
  <c r="E414" i="8"/>
  <c r="E415" i="8"/>
  <c r="E416" i="8"/>
  <c r="E417" i="8"/>
  <c r="E418" i="8"/>
  <c r="E460" i="8"/>
  <c r="E461" i="8"/>
  <c r="E462" i="8"/>
  <c r="E466" i="8"/>
  <c r="E26" i="8"/>
  <c r="E38" i="8"/>
  <c r="E43" i="8"/>
  <c r="E44" i="8"/>
  <c r="E51" i="8"/>
  <c r="E53" i="8"/>
  <c r="E56" i="8"/>
  <c r="E60" i="8"/>
  <c r="E61" i="8"/>
  <c r="E70" i="8"/>
  <c r="E76" i="8"/>
  <c r="E80" i="8"/>
  <c r="E84" i="8"/>
  <c r="E94" i="8"/>
  <c r="E99" i="8"/>
  <c r="E111" i="8"/>
  <c r="E117" i="8"/>
  <c r="E118" i="8"/>
  <c r="E122" i="8"/>
  <c r="E124" i="8"/>
  <c r="E126" i="8"/>
  <c r="E133" i="8"/>
  <c r="E137" i="8"/>
  <c r="E142" i="8"/>
  <c r="E143" i="8"/>
  <c r="E150" i="8"/>
  <c r="E159" i="8"/>
  <c r="E169" i="8"/>
  <c r="E170" i="8"/>
  <c r="E174" i="8"/>
  <c r="E177" i="8"/>
  <c r="E178" i="8"/>
  <c r="E179" i="8"/>
  <c r="E185" i="8"/>
  <c r="E186" i="8"/>
  <c r="E187" i="8"/>
  <c r="E188" i="8"/>
  <c r="E190" i="8"/>
  <c r="E197" i="8"/>
  <c r="E198" i="8"/>
  <c r="E199" i="8"/>
  <c r="E205" i="8"/>
  <c r="E206" i="8"/>
  <c r="E207" i="8"/>
  <c r="E216" i="8"/>
  <c r="E217" i="8"/>
  <c r="E224" i="8"/>
  <c r="E225" i="8"/>
  <c r="E226" i="8"/>
  <c r="E227" i="8"/>
  <c r="E228" i="8"/>
  <c r="E229" i="8"/>
  <c r="E230" i="8"/>
  <c r="E232" i="8"/>
  <c r="E233" i="8"/>
  <c r="E234" i="8"/>
  <c r="E239" i="8"/>
  <c r="E241" i="8"/>
  <c r="E242" i="8"/>
  <c r="E244" i="8"/>
  <c r="E245" i="8"/>
  <c r="E257" i="8"/>
  <c r="E263" i="8"/>
  <c r="E288" i="8"/>
  <c r="E289" i="8"/>
  <c r="E298" i="8"/>
  <c r="E299" i="8"/>
  <c r="E300" i="8"/>
  <c r="E304" i="8"/>
  <c r="E305" i="8"/>
  <c r="E306" i="8"/>
  <c r="E307" i="8"/>
  <c r="E309" i="8"/>
  <c r="E310" i="8"/>
  <c r="E311" i="8"/>
  <c r="E312" i="8"/>
  <c r="E315" i="8"/>
  <c r="E328" i="8"/>
  <c r="E329" i="8"/>
  <c r="E342" i="8"/>
  <c r="E343" i="8"/>
  <c r="E344" i="8"/>
  <c r="E353" i="8"/>
  <c r="E355" i="8"/>
  <c r="E357" i="8"/>
  <c r="E368" i="8"/>
  <c r="E369" i="8"/>
  <c r="E370" i="8"/>
  <c r="E380" i="8"/>
  <c r="E381" i="8"/>
  <c r="E382" i="8"/>
  <c r="E386" i="8"/>
  <c r="E413" i="8"/>
  <c r="E419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59" i="8"/>
  <c r="E463" i="8"/>
  <c r="E464" i="8"/>
  <c r="E465" i="8"/>
  <c r="E467" i="8"/>
  <c r="F466" i="8"/>
  <c r="F462" i="8"/>
  <c r="F461" i="8"/>
  <c r="F460" i="8"/>
  <c r="F418" i="8"/>
  <c r="F417" i="8"/>
  <c r="F416" i="8"/>
  <c r="F415" i="8"/>
  <c r="F414" i="8"/>
  <c r="F412" i="8"/>
  <c r="F411" i="8"/>
  <c r="F391" i="8"/>
  <c r="F390" i="8"/>
  <c r="F389" i="8"/>
  <c r="F388" i="8"/>
  <c r="F387" i="8"/>
  <c r="F385" i="8"/>
  <c r="F384" i="8"/>
  <c r="F383" i="8"/>
  <c r="F358" i="8"/>
  <c r="F354" i="8"/>
  <c r="F336" i="8"/>
  <c r="F335" i="8"/>
  <c r="F334" i="8"/>
  <c r="F333" i="8"/>
  <c r="F332" i="8"/>
  <c r="F331" i="8"/>
  <c r="F330" i="8"/>
  <c r="F327" i="8"/>
  <c r="F318" i="8"/>
  <c r="F317" i="8"/>
  <c r="F314" i="8"/>
  <c r="F308" i="8"/>
  <c r="F303" i="8"/>
  <c r="F302" i="8"/>
  <c r="F287" i="8"/>
  <c r="F286" i="8"/>
  <c r="F283" i="8"/>
  <c r="F277" i="8"/>
  <c r="F276" i="8"/>
  <c r="F275" i="8"/>
  <c r="F274" i="8"/>
  <c r="F258" i="8"/>
  <c r="F254" i="8"/>
  <c r="F240" i="8"/>
  <c r="F238" i="8"/>
  <c r="F237" i="8"/>
  <c r="F236" i="8"/>
  <c r="F235" i="8"/>
  <c r="F231" i="8"/>
  <c r="F221" i="8"/>
  <c r="F219" i="8"/>
  <c r="F218" i="8"/>
  <c r="F215" i="8"/>
  <c r="F214" i="8"/>
  <c r="F213" i="8"/>
  <c r="F202" i="8"/>
  <c r="F200" i="8"/>
  <c r="F191" i="8"/>
  <c r="F189" i="8"/>
  <c r="F184" i="8"/>
  <c r="F183" i="8"/>
  <c r="F182" i="8"/>
  <c r="F181" i="8"/>
  <c r="F176" i="8"/>
  <c r="F175" i="8"/>
  <c r="F173" i="8"/>
  <c r="F172" i="8"/>
  <c r="F171" i="8"/>
  <c r="F161" i="8"/>
  <c r="F160" i="8"/>
  <c r="F158" i="8"/>
  <c r="F157" i="8"/>
  <c r="F156" i="8"/>
  <c r="F155" i="8"/>
  <c r="F154" i="8"/>
  <c r="F153" i="8"/>
  <c r="F152" i="8"/>
  <c r="F151" i="8"/>
  <c r="F149" i="8"/>
  <c r="F148" i="8"/>
  <c r="F147" i="8"/>
  <c r="F146" i="8"/>
  <c r="F145" i="8"/>
  <c r="F141" i="8"/>
  <c r="F138" i="8"/>
  <c r="F135" i="8"/>
  <c r="F134" i="8"/>
  <c r="F131" i="8"/>
  <c r="F130" i="8"/>
  <c r="F129" i="8"/>
  <c r="F128" i="8"/>
  <c r="F127" i="8"/>
  <c r="F125" i="8"/>
  <c r="F123" i="8"/>
  <c r="F120" i="8"/>
  <c r="F119" i="8"/>
  <c r="F116" i="8"/>
  <c r="F115" i="8"/>
  <c r="F114" i="8"/>
  <c r="F113" i="8"/>
  <c r="F112" i="8"/>
  <c r="F108" i="8"/>
  <c r="F107" i="8"/>
  <c r="F106" i="8"/>
  <c r="F104" i="8"/>
  <c r="F103" i="8"/>
  <c r="F102" i="8"/>
  <c r="F101" i="8"/>
  <c r="F100" i="8"/>
  <c r="F98" i="8"/>
  <c r="F95" i="8"/>
  <c r="F92" i="8"/>
  <c r="F83" i="8"/>
  <c r="F82" i="8"/>
  <c r="F81" i="8"/>
  <c r="F78" i="8"/>
  <c r="F73" i="8"/>
  <c r="F72" i="8"/>
  <c r="F66" i="8"/>
  <c r="F65" i="8"/>
  <c r="F63" i="8"/>
  <c r="F62" i="8"/>
  <c r="F59" i="8"/>
  <c r="F57" i="8"/>
  <c r="F55" i="8"/>
  <c r="F50" i="8"/>
  <c r="F49" i="8"/>
  <c r="F46" i="8"/>
  <c r="F45" i="8"/>
  <c r="F29" i="8"/>
  <c r="F28" i="8"/>
  <c r="F27" i="8"/>
  <c r="F24" i="8"/>
  <c r="F23" i="8"/>
  <c r="F22" i="8"/>
  <c r="F21" i="8"/>
  <c r="F20" i="8"/>
  <c r="F19" i="8"/>
  <c r="F18" i="8"/>
  <c r="F17" i="8"/>
  <c r="F16" i="8"/>
  <c r="F13" i="8"/>
  <c r="F12" i="8"/>
  <c r="F11" i="8"/>
  <c r="F10" i="8"/>
  <c r="F9" i="8"/>
  <c r="F8" i="8"/>
  <c r="F7" i="8"/>
  <c r="F6" i="8"/>
  <c r="F5" i="8"/>
  <c r="F4" i="8"/>
  <c r="F3" i="8"/>
  <c r="E25" i="8"/>
  <c r="H37" i="8" a="1"/>
  <c r="H37" i="8" s="1"/>
  <c r="E15" i="8"/>
  <c r="E2" i="8"/>
  <c r="F14" i="8"/>
  <c r="F15" i="8"/>
  <c r="F30" i="8"/>
  <c r="F31" i="8"/>
  <c r="F32" i="8"/>
  <c r="F33" i="8"/>
  <c r="F35" i="8"/>
  <c r="F36" i="8"/>
  <c r="E58" i="8"/>
  <c r="F58" i="8"/>
  <c r="E64" i="8"/>
  <c r="F64" i="8"/>
  <c r="F2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<sst xmlns="http://schemas.openxmlformats.org/spreadsheetml/2006/main" count="6903" uniqueCount="2866">
  <si>
    <t>الموقع</t>
  </si>
  <si>
    <t>#</t>
  </si>
  <si>
    <t>U127</t>
  </si>
  <si>
    <t>إنقطاع الإتصال بالمولد</t>
  </si>
  <si>
    <t>U164</t>
  </si>
  <si>
    <t>U161</t>
  </si>
  <si>
    <t>U177</t>
  </si>
  <si>
    <t>U136</t>
  </si>
  <si>
    <t>U114</t>
  </si>
  <si>
    <t>U13</t>
  </si>
  <si>
    <t>إنقطاع إتصال الشاشة الإلكترونية بإتجاه الشرق</t>
  </si>
  <si>
    <t>U19</t>
  </si>
  <si>
    <t>U6-21</t>
  </si>
  <si>
    <t>U128</t>
  </si>
  <si>
    <t>U139</t>
  </si>
  <si>
    <t>U126</t>
  </si>
  <si>
    <t>U2</t>
  </si>
  <si>
    <t>إنقطاع الإتصال عن الشاشة الإلكترونية</t>
  </si>
  <si>
    <t>U133</t>
  </si>
  <si>
    <t>U8</t>
  </si>
  <si>
    <t>U165</t>
  </si>
  <si>
    <t>U11-2</t>
  </si>
  <si>
    <t>C121</t>
  </si>
  <si>
    <t>U9</t>
  </si>
  <si>
    <t>U149</t>
  </si>
  <si>
    <t>U20</t>
  </si>
  <si>
    <t>U130</t>
  </si>
  <si>
    <t>C135</t>
  </si>
  <si>
    <t>U16</t>
  </si>
  <si>
    <t>U131</t>
  </si>
  <si>
    <t>U6-41</t>
  </si>
  <si>
    <t>U144</t>
  </si>
  <si>
    <t xml:space="preserve">إنقطاع الإتصال بالمولد </t>
  </si>
  <si>
    <t>U166</t>
  </si>
  <si>
    <t>U124</t>
  </si>
  <si>
    <t>U146</t>
  </si>
  <si>
    <t>U5</t>
  </si>
  <si>
    <t>U154</t>
  </si>
  <si>
    <t>U24</t>
  </si>
  <si>
    <t xml:space="preserve">إنقطاع الإتصال عن الشاشة الإلكترونية </t>
  </si>
  <si>
    <t>U15-1</t>
  </si>
  <si>
    <t>U21</t>
  </si>
  <si>
    <t>U141</t>
  </si>
  <si>
    <t>U135</t>
  </si>
  <si>
    <t>U149A</t>
  </si>
  <si>
    <t>U104</t>
  </si>
  <si>
    <t>U15-2</t>
  </si>
  <si>
    <t>إنقطاع الإتصال عن المولدات</t>
  </si>
  <si>
    <t>U4</t>
  </si>
  <si>
    <t>U113</t>
  </si>
  <si>
    <t>U176</t>
  </si>
  <si>
    <t>U1</t>
  </si>
  <si>
    <t>U11-1</t>
  </si>
  <si>
    <t>U110</t>
  </si>
  <si>
    <t>U10-22</t>
  </si>
  <si>
    <t>U10-32</t>
  </si>
  <si>
    <t>U155</t>
  </si>
  <si>
    <t>U142</t>
  </si>
  <si>
    <t>انقطاع الاتصال عن اسكادا  محطة الملك فهد</t>
  </si>
  <si>
    <t>U101</t>
  </si>
  <si>
    <t>U10-52</t>
  </si>
  <si>
    <t>U156</t>
  </si>
  <si>
    <t>U140</t>
  </si>
  <si>
    <t>U137</t>
  </si>
  <si>
    <t>انقطاع الاتصال عن اسكادا الملك خالد</t>
  </si>
  <si>
    <t>U3</t>
  </si>
  <si>
    <t>الجهاز</t>
  </si>
  <si>
    <t>الموقع2</t>
  </si>
  <si>
    <t>كاميرا</t>
  </si>
  <si>
    <t>الشاشة</t>
  </si>
  <si>
    <t>مضخات</t>
  </si>
  <si>
    <t>المولد</t>
  </si>
  <si>
    <t>الإنارة</t>
  </si>
  <si>
    <t xml:space="preserve">مصدر الكهرباء </t>
  </si>
  <si>
    <t>تقاطع طريق الأمير عبد العزيز بن مساعد بن جلوي مع شارع المعذر</t>
  </si>
  <si>
    <t>تقاطع طريق الأمير سعد بن عبد الرحمن الأول مع طريق هارون الرشيد</t>
  </si>
  <si>
    <t>تقاطع طريق سعد بن عبد الرحمن الأول مع طريق الامام الشافعي</t>
  </si>
  <si>
    <t>تقاطع طريق الأمير تركي بن عبد العزيز الأول مع طريق العروبة</t>
  </si>
  <si>
    <t>T14</t>
  </si>
  <si>
    <t>T15</t>
  </si>
  <si>
    <t>T16</t>
  </si>
  <si>
    <t>T23</t>
  </si>
  <si>
    <t>تقاطع شارع الملك خالد مع شارع المعذر</t>
  </si>
  <si>
    <t>U6-31</t>
  </si>
  <si>
    <t>تقاطع طريق عمر بن عبد العزيز مع طريق النهضة</t>
  </si>
  <si>
    <t>تقاطع شارع البطحاء مع طريق الأمير محمد بن عبد الرحمن – ميدان طرابلس</t>
  </si>
  <si>
    <t>تقاطع طريق ديراب مع المثنى بن حارثة</t>
  </si>
  <si>
    <t>تقاطع طريق ديراب مع طريق الإمام مسلم</t>
  </si>
  <si>
    <t>تقاطع طريق ديراب مع الصحراء وحمزة بن عبد المطلب</t>
  </si>
  <si>
    <t>U26</t>
  </si>
  <si>
    <t>تقاطع شارع عبدالله بن عبيد و طريق الشيخ عيسى بن سلمان آل خليفة</t>
  </si>
  <si>
    <t>T17</t>
  </si>
  <si>
    <t>T18</t>
  </si>
  <si>
    <t>T19</t>
  </si>
  <si>
    <t>U103</t>
  </si>
  <si>
    <t>U106</t>
  </si>
  <si>
    <t>U108</t>
  </si>
  <si>
    <t>U109</t>
  </si>
  <si>
    <t>U C101</t>
  </si>
  <si>
    <t>U138</t>
  </si>
  <si>
    <t>الطريق الدائري الثاني مع علي العريني (خشم العان 3)</t>
  </si>
  <si>
    <t>U167</t>
  </si>
  <si>
    <t>C16</t>
  </si>
  <si>
    <t>C210</t>
  </si>
  <si>
    <t>CCTV ##</t>
  </si>
  <si>
    <t>U17</t>
  </si>
  <si>
    <t>CCTV61</t>
  </si>
  <si>
    <t>CCTV395</t>
  </si>
  <si>
    <t>CCTV472</t>
  </si>
  <si>
    <t>CCTV29</t>
  </si>
  <si>
    <t>CCTV49</t>
  </si>
  <si>
    <t>CCTV38</t>
  </si>
  <si>
    <t>CCTV393</t>
  </si>
  <si>
    <t>CCTV4</t>
  </si>
  <si>
    <t>CCTV14</t>
  </si>
  <si>
    <t>CCTV16</t>
  </si>
  <si>
    <t>CCTV58</t>
  </si>
  <si>
    <t>CCTV70</t>
  </si>
  <si>
    <t>CCTV492</t>
  </si>
  <si>
    <t>CCTV26</t>
  </si>
  <si>
    <t>CCTV28</t>
  </si>
  <si>
    <t>CCTV388</t>
  </si>
  <si>
    <t>CCTV364</t>
  </si>
  <si>
    <t>CCTV329</t>
  </si>
  <si>
    <t>CCTV330</t>
  </si>
  <si>
    <t>CCTV331</t>
  </si>
  <si>
    <t>CCTV332</t>
  </si>
  <si>
    <t>CCTV205</t>
  </si>
  <si>
    <t>CCTV206</t>
  </si>
  <si>
    <t>CCTV239</t>
  </si>
  <si>
    <t>CCTV204</t>
  </si>
  <si>
    <t>CCTV303</t>
  </si>
  <si>
    <t>CCTV80</t>
  </si>
  <si>
    <t>CCTV87</t>
  </si>
  <si>
    <t>CCTV365</t>
  </si>
  <si>
    <t>CCTV76</t>
  </si>
  <si>
    <t>CCTV495</t>
  </si>
  <si>
    <t>CCTV411</t>
  </si>
  <si>
    <t>CCTV403</t>
  </si>
  <si>
    <t>CCTV33</t>
  </si>
  <si>
    <t>CCTV99</t>
  </si>
  <si>
    <t>CCTV138</t>
  </si>
  <si>
    <t>CCTV369</t>
  </si>
  <si>
    <t>CCTV50</t>
  </si>
  <si>
    <t>CCTV55</t>
  </si>
  <si>
    <t>CCTV196</t>
  </si>
  <si>
    <t>CCTV349</t>
  </si>
  <si>
    <t>CCTV339</t>
  </si>
  <si>
    <t>CCTV183</t>
  </si>
  <si>
    <t>CCTV262</t>
  </si>
  <si>
    <t>CCTV279</t>
  </si>
  <si>
    <t>CCTV68</t>
  </si>
  <si>
    <t>CCTV110</t>
  </si>
  <si>
    <t>CCTV113</t>
  </si>
  <si>
    <t>CCTV114</t>
  </si>
  <si>
    <t>CCTV499</t>
  </si>
  <si>
    <t>CCTV319</t>
  </si>
  <si>
    <t>CCTV71</t>
  </si>
  <si>
    <t>CCTV121</t>
  </si>
  <si>
    <t>CCTV270</t>
  </si>
  <si>
    <t>CCTV442</t>
  </si>
  <si>
    <t>CCTV462</t>
  </si>
  <si>
    <t>CCTV459</t>
  </si>
  <si>
    <t>CCTV427</t>
  </si>
  <si>
    <t>CCTV286</t>
  </si>
  <si>
    <t>CCTV148</t>
  </si>
  <si>
    <t>CCTV215</t>
  </si>
  <si>
    <t>CCTV224</t>
  </si>
  <si>
    <t>CCTV227</t>
  </si>
  <si>
    <t>CCTV231</t>
  </si>
  <si>
    <t>CCTV452</t>
  </si>
  <si>
    <t>CCTV389</t>
  </si>
  <si>
    <t>CCTV419</t>
  </si>
  <si>
    <t>CCTV376</t>
  </si>
  <si>
    <t>CCTV377</t>
  </si>
  <si>
    <t>CCTV158</t>
  </si>
  <si>
    <t>CCTV37</t>
  </si>
  <si>
    <t>CCTV15</t>
  </si>
  <si>
    <t>CCTV433</t>
  </si>
  <si>
    <t>VMS EXIT 14 SB</t>
  </si>
  <si>
    <t>VMS NAYEF WB</t>
  </si>
  <si>
    <t>VMS TADREEB EB</t>
  </si>
  <si>
    <t>U18-EB</t>
  </si>
  <si>
    <t>U18-WB</t>
  </si>
  <si>
    <t>U19-EB1</t>
  </si>
  <si>
    <t>VMS TAKHASUSI WB</t>
  </si>
  <si>
    <t>VMS NATIONAL GUARD EB</t>
  </si>
  <si>
    <t>VMS EXIT 10 SB</t>
  </si>
  <si>
    <t>VMS KING SALMAN OTHMAN WB</t>
  </si>
  <si>
    <t>VMS KING FAHD ANAS IBN MALIK NB</t>
  </si>
  <si>
    <t>VMS KING FAHD SAUD FAISAL NB</t>
  </si>
  <si>
    <t>VMS KING FAHD SAUD FAISAL SB</t>
  </si>
  <si>
    <t>VMS SHEIKH JABR SB</t>
  </si>
  <si>
    <t>VMS UMALHAMMAM WB</t>
  </si>
  <si>
    <t>VMS EXIT 13 SB</t>
  </si>
  <si>
    <t>VMS KHARJ ROAD SB</t>
  </si>
  <si>
    <t>U17-SB</t>
  </si>
  <si>
    <t>U14-NB</t>
  </si>
  <si>
    <t>VMS KING SALMAN ABDEL AZIZ WB</t>
  </si>
  <si>
    <t>VMS KING SALMAN ABDEL AZIZ EB</t>
  </si>
  <si>
    <t>VMS KING SALMAN ABO BAKR EB</t>
  </si>
  <si>
    <t>VMS KING SALMAN KING FAHD EB</t>
  </si>
  <si>
    <t>VMS KING FAHD THUMAMA SB</t>
  </si>
  <si>
    <t>U2-NB</t>
  </si>
  <si>
    <t>VMS CAIRO NB</t>
  </si>
  <si>
    <t>VMS JEDDAH ROAD</t>
  </si>
  <si>
    <t>U15-SB</t>
  </si>
  <si>
    <t>VMS EXIT 19 SB</t>
  </si>
  <si>
    <t>VMS EXIT 24 KHURAIS WB</t>
  </si>
  <si>
    <t>VMS EXIT 26 KHURAIS WB</t>
  </si>
  <si>
    <t>VMS EXIT 30 KHURAIS WB</t>
  </si>
  <si>
    <t>VMS EXIT 28 KHURAIS EB</t>
  </si>
  <si>
    <t>VMS CAIRO EB</t>
  </si>
  <si>
    <t>VMS CAIRO SB</t>
  </si>
  <si>
    <t>VMS EXIT 8 NB</t>
  </si>
  <si>
    <t>VMS EXIT 8 EB</t>
  </si>
  <si>
    <t>VMS TAKHASUSI EB</t>
  </si>
  <si>
    <t>VMS EXIT 4 WB</t>
  </si>
  <si>
    <t>VMS DEWAN WB</t>
  </si>
  <si>
    <t>VMS EXIT 3 EB</t>
  </si>
  <si>
    <t>VMS EXIT 17 NB</t>
  </si>
  <si>
    <t>VMS EXIT 11 NB</t>
  </si>
  <si>
    <t>VMS DABAB EB</t>
  </si>
  <si>
    <t>VMS EXIT 1 WB</t>
  </si>
  <si>
    <t>VMS EXIT 15 NB</t>
  </si>
  <si>
    <t>الإحداثيات</t>
  </si>
  <si>
    <t>U1-NB</t>
  </si>
  <si>
    <t>24.680028, 46.701222</t>
  </si>
  <si>
    <t>24.671417, 46.705444</t>
  </si>
  <si>
    <t>تقاطع شارع العليا مع شارع المعذرـــ وزارة الداخلية</t>
  </si>
  <si>
    <t>24.672861, 46.695583</t>
  </si>
  <si>
    <t>U2-SB</t>
  </si>
  <si>
    <t>24.667056, 46.701556</t>
  </si>
  <si>
    <t>تقاطع شارع الناصرية مع شارع المعذر</t>
  </si>
  <si>
    <t>U3-NB</t>
  </si>
  <si>
    <t>24.665750, 46.682500</t>
  </si>
  <si>
    <t>U3-SB</t>
  </si>
  <si>
    <t>24.656167, 46.687361</t>
  </si>
  <si>
    <t>U4-EB</t>
  </si>
  <si>
    <t>24.659917, 46.683389</t>
  </si>
  <si>
    <t>U4-WB</t>
  </si>
  <si>
    <t>24.653389, 46.674333</t>
  </si>
  <si>
    <t>تقاطع طريق الملك فهد مع طريق الأمير محمد بن عبد العزيز</t>
  </si>
  <si>
    <t>U5-NB</t>
  </si>
  <si>
    <t>24.698139, 46.678889</t>
  </si>
  <si>
    <t>U5-SB</t>
  </si>
  <si>
    <t>24.689833, 46.683306</t>
  </si>
  <si>
    <t>تقاطع طريق الخرج مع طريق عمر بن الخطاب ـــ ميدان العمل</t>
  </si>
  <si>
    <t>U6-21-NB</t>
  </si>
  <si>
    <t>24.642778, 46.735528</t>
  </si>
  <si>
    <t>U6-31-SB</t>
  </si>
  <si>
    <t>24.648028, 46.728556</t>
  </si>
  <si>
    <t>U6-41-NB</t>
  </si>
  <si>
    <t>24.652444, 46.734417</t>
  </si>
  <si>
    <t>U6-41-SB</t>
  </si>
  <si>
    <t>24.650806, 46.735694</t>
  </si>
  <si>
    <t>تقاطع شارع المدينة المنورة مع طريق علي بن أبي طالب</t>
  </si>
  <si>
    <t>U7-EB</t>
  </si>
  <si>
    <t>24.642083, 46.764028</t>
  </si>
  <si>
    <t>U7-WB</t>
  </si>
  <si>
    <t>24.640306, 46.756194</t>
  </si>
  <si>
    <t>U8-EB</t>
  </si>
  <si>
    <t>24.689750, 46.758417</t>
  </si>
  <si>
    <t>U8-WB</t>
  </si>
  <si>
    <t>24.686361, 46.748694</t>
  </si>
  <si>
    <t xml:space="preserve">تقاطع شارع السويدي العام مع شارع عبد الملك بن هاشم </t>
  </si>
  <si>
    <t>U9-EB</t>
  </si>
  <si>
    <t>24.591708, 46.674645</t>
  </si>
  <si>
    <t>U9-WB</t>
  </si>
  <si>
    <t>24.588194, 46.669528</t>
  </si>
  <si>
    <t>تقاطع شارع الوشم مع شارع الناصرية ـــ وزارة الخارجية</t>
  </si>
  <si>
    <t>U10-RG-WB</t>
  </si>
  <si>
    <t>24.651194, 46.697722</t>
  </si>
  <si>
    <t>U10-22-EB</t>
  </si>
  <si>
    <t>24.646250, 46.685889</t>
  </si>
  <si>
    <t>U10-32-SB</t>
  </si>
  <si>
    <t>24.651834, 46.689231</t>
  </si>
  <si>
    <t>U10-52-NB</t>
  </si>
  <si>
    <t>24.650771, 46.692443</t>
  </si>
  <si>
    <t>U10-72-NB</t>
  </si>
  <si>
    <t>24.645000, 46.693167</t>
  </si>
  <si>
    <t>تقاطع شارع البطحاء مع طريق الأمير محمد بن عبد الرحمن</t>
  </si>
  <si>
    <t>U11-SB</t>
  </si>
  <si>
    <t>24.613861, 46.726861</t>
  </si>
  <si>
    <t>U11-NB</t>
  </si>
  <si>
    <t>24.606479, 46.730706</t>
  </si>
  <si>
    <t>طريق أبو عبيدة عامر بن الجراح ـ بعد تقاطعه مع الدائري الشرقي باتجاه الشرق</t>
  </si>
  <si>
    <t>U12-EB</t>
  </si>
  <si>
    <t>24.667278, 46.791083</t>
  </si>
  <si>
    <t>U12-WB</t>
  </si>
  <si>
    <t>24.667472, 46.800111</t>
  </si>
  <si>
    <t>تقاطع طريق الإمام سعود مع طريق أبي بكر الصديق</t>
  </si>
  <si>
    <t>U13-WB</t>
  </si>
  <si>
    <t>24.759333, 46.690861</t>
  </si>
  <si>
    <t>U13-EB</t>
  </si>
  <si>
    <t>24.75940, 46.690902</t>
  </si>
  <si>
    <t>تقاطع طريق ديراب مع طريق المثنى بن حارثة</t>
  </si>
  <si>
    <t>24.567278, 46.687389</t>
  </si>
  <si>
    <t>24.547139, 46.667056</t>
  </si>
  <si>
    <t>U15-NB</t>
  </si>
  <si>
    <t>24.560056, 46.678667</t>
  </si>
  <si>
    <t>U16-NB</t>
  </si>
  <si>
    <t>24.532056, 46.654667</t>
  </si>
  <si>
    <t>U16-SB</t>
  </si>
  <si>
    <t>24.541722, 46.662333</t>
  </si>
  <si>
    <t>تقاطع طريق الأمير تركي بن عبد العزيز الأول مع طريق الإمام سعود بن عبدا لعزيز</t>
  </si>
  <si>
    <t>24.740306, 46.627361</t>
  </si>
  <si>
    <t>U17-NB</t>
  </si>
  <si>
    <t>24.731972, 46.637806</t>
  </si>
  <si>
    <t>تقاطع طريق الامام سعود بن عبد العزيز مع الدائري الشرقي (شرق)</t>
  </si>
  <si>
    <t>24.776722, 46.732111</t>
  </si>
  <si>
    <t>24.780597, 46.740810</t>
  </si>
  <si>
    <t>تقاطع طريق الامام سعود بن عبد العزيز مع الدائري الشرقي (غرب)</t>
  </si>
  <si>
    <t>24.766948, 46.708904</t>
  </si>
  <si>
    <t>U19-EB2</t>
  </si>
  <si>
    <t>24.772007, 46.720777</t>
  </si>
  <si>
    <t>U19-EB3</t>
  </si>
  <si>
    <t>24.781782, 46.744057</t>
  </si>
  <si>
    <t>طريق الأمير فيصل بن بندر بن عبدالعزيز مع طريق الثمامة</t>
  </si>
  <si>
    <t>U25-SB</t>
  </si>
  <si>
    <t>24.823245, 46.698389</t>
  </si>
  <si>
    <t>U1-SB</t>
  </si>
  <si>
    <t>VMS1</t>
  </si>
  <si>
    <t>VMS2</t>
  </si>
  <si>
    <t>VMS3</t>
  </si>
  <si>
    <t>VMS4</t>
  </si>
  <si>
    <t>VMS5</t>
  </si>
  <si>
    <t>VMS6</t>
  </si>
  <si>
    <t>VMS7</t>
  </si>
  <si>
    <t>VMS8</t>
  </si>
  <si>
    <t>VMS9</t>
  </si>
  <si>
    <t>VMS10</t>
  </si>
  <si>
    <t>VMS11</t>
  </si>
  <si>
    <t>VMS12</t>
  </si>
  <si>
    <t>VMS13</t>
  </si>
  <si>
    <t>VMS14</t>
  </si>
  <si>
    <t>VMS15</t>
  </si>
  <si>
    <t>VMS16</t>
  </si>
  <si>
    <t>VMS17</t>
  </si>
  <si>
    <t>VMS18</t>
  </si>
  <si>
    <t>VMS19</t>
  </si>
  <si>
    <t>VMS20</t>
  </si>
  <si>
    <t>VMS21</t>
  </si>
  <si>
    <t>VMS22</t>
  </si>
  <si>
    <t>VMS23</t>
  </si>
  <si>
    <t>VMS24</t>
  </si>
  <si>
    <t>VMS25</t>
  </si>
  <si>
    <t>VMS26</t>
  </si>
  <si>
    <t>VMS27</t>
  </si>
  <si>
    <t>VMS28</t>
  </si>
  <si>
    <t>VMS29</t>
  </si>
  <si>
    <t>VMS30</t>
  </si>
  <si>
    <t>VMS31</t>
  </si>
  <si>
    <t>VMS32</t>
  </si>
  <si>
    <t>VMS33</t>
  </si>
  <si>
    <t>VMS34</t>
  </si>
  <si>
    <t>VMS35</t>
  </si>
  <si>
    <t>VMS36</t>
  </si>
  <si>
    <t>VMS37</t>
  </si>
  <si>
    <t>VMS38</t>
  </si>
  <si>
    <t>VMS39</t>
  </si>
  <si>
    <t>VMS40</t>
  </si>
  <si>
    <t>VMS41</t>
  </si>
  <si>
    <t>VMS42</t>
  </si>
  <si>
    <t>VMS43</t>
  </si>
  <si>
    <t>VMS44</t>
  </si>
  <si>
    <t>طريق الملك سلمان - الملك عبدالعزيز - غرب</t>
  </si>
  <si>
    <t>VMS45</t>
  </si>
  <si>
    <t>طريق الملك سلمان - الملك عبدالعزيز - شرق</t>
  </si>
  <si>
    <t>VMS46</t>
  </si>
  <si>
    <t>طريق الملك سلمان - الملك فهد -غرب</t>
  </si>
  <si>
    <t>VMS KING SALMAN KING FAHD WB</t>
  </si>
  <si>
    <t>VMS47</t>
  </si>
  <si>
    <t>طريق الملك سلمان - أبو بكر الصديق - شرق</t>
  </si>
  <si>
    <t>VMS48</t>
  </si>
  <si>
    <t>طريق الملك سلمان - عثمان بن عفان - غرب</t>
  </si>
  <si>
    <t>VMS49</t>
  </si>
  <si>
    <t>طريق الدمام- قبل مخرج 8 - غرب</t>
  </si>
  <si>
    <t>VMS DAMMAM ROAD WB</t>
  </si>
  <si>
    <t>VMS50</t>
  </si>
  <si>
    <t>طريق الملك فهد - الثمامة الفرعي - جنوب</t>
  </si>
  <si>
    <t>VMS51</t>
  </si>
  <si>
    <t>طريق الملك فهد - ميدان القاهرة  - شمال</t>
  </si>
  <si>
    <t>VMS52</t>
  </si>
  <si>
    <t>مخرج 8 -  الدائري الشرقي - شمال</t>
  </si>
  <si>
    <t>VMS53</t>
  </si>
  <si>
    <t>مخرج 10 -  الدائري الشرقي - جنوب</t>
  </si>
  <si>
    <t>VMS54</t>
  </si>
  <si>
    <t>طريق الملك فهد - ميدان القاهرة - جنوب</t>
  </si>
  <si>
    <t>VMS55</t>
  </si>
  <si>
    <t>مخرج 8 - الدائري الشمالي - شرق</t>
  </si>
  <si>
    <t>VMS56</t>
  </si>
  <si>
    <t>مخرج 3 - الدائري الشمالي - شرق</t>
  </si>
  <si>
    <t>VMS57</t>
  </si>
  <si>
    <t>طريق مكه المكرمة - التخصصي - شرق</t>
  </si>
  <si>
    <t>VMS58</t>
  </si>
  <si>
    <t>طريق مكه المكرمة - التخصصي - غرب</t>
  </si>
  <si>
    <t>VMS59</t>
  </si>
  <si>
    <t>طريق الملك فهد - الإمام سعود بن فيصل - جنوب</t>
  </si>
  <si>
    <t>VMS60</t>
  </si>
  <si>
    <t>طريق الملك فهد  - الإمام سعود بن فيصل - شمال</t>
  </si>
  <si>
    <t>VMS61</t>
  </si>
  <si>
    <t>طريق الملك فهد - أنس ابن مالك - شمال</t>
  </si>
  <si>
    <t>VMS62</t>
  </si>
  <si>
    <t>طريق الملك فهد - العروبة - جنوب</t>
  </si>
  <si>
    <t>VMS KING FAHD OROUBA SB</t>
  </si>
  <si>
    <t>VMS63</t>
  </si>
  <si>
    <t>مخرج 4 - الدائري الشمالي - غرب</t>
  </si>
  <si>
    <t>VMS64</t>
  </si>
  <si>
    <t>مخرج 1 - الدائري الشمالي - غرب</t>
  </si>
  <si>
    <t>VMS65</t>
  </si>
  <si>
    <t>طريق مكة المكرمة - الملك خالد الفرعي شرق</t>
  </si>
  <si>
    <t>VMS DEWAN EB</t>
  </si>
  <si>
    <t>VMS66</t>
  </si>
  <si>
    <t>طريق مكة المكرمة - الملك خالد الفرعي - غرب</t>
  </si>
  <si>
    <t>VMS67</t>
  </si>
  <si>
    <t>طريق مكة المكرمة - الأمير عبدالعزيز بن مساعد بن جلوي  شرق</t>
  </si>
  <si>
    <t>VMS68</t>
  </si>
  <si>
    <t>طريق مكة المكرمة  - الأمير عبدالعزيز بن مساعد بن جلوي  - غرب</t>
  </si>
  <si>
    <t>VMS DABAB WB</t>
  </si>
  <si>
    <t>VMS69</t>
  </si>
  <si>
    <t>مخرج 33 الطريق الدائري الغربي - جنوب</t>
  </si>
  <si>
    <t>VMS EXIT 33 SB</t>
  </si>
  <si>
    <t>VMS70</t>
  </si>
  <si>
    <t>طريق الخرج -المدخل الجنوبي</t>
  </si>
  <si>
    <t>VMS71</t>
  </si>
  <si>
    <t xml:space="preserve"> طريق المطار - جنوب</t>
  </si>
  <si>
    <t>VMS AIRPORT ROAD SB</t>
  </si>
  <si>
    <t>VMS72</t>
  </si>
  <si>
    <t>الدائري الشرقي - مخرج 11 - شمال</t>
  </si>
  <si>
    <t>VMS73</t>
  </si>
  <si>
    <t xml:space="preserve">الدائري الشرقي - مخرج 13 - جنوب </t>
  </si>
  <si>
    <t>VMS74</t>
  </si>
  <si>
    <t>الدائري الشرقي - مخرج 16 -  جنوب</t>
  </si>
  <si>
    <t>VMS EXIT 16 SB</t>
  </si>
  <si>
    <t>VMS75</t>
  </si>
  <si>
    <t>الدائري الشرقي - مخرج 15 - شمال</t>
  </si>
  <si>
    <t>VMS76</t>
  </si>
  <si>
    <t>الدائري الشرقي - مخرج 14 - جنوب</t>
  </si>
  <si>
    <t>VMS77</t>
  </si>
  <si>
    <t>مخرج 30 طريق خريص - غرب</t>
  </si>
  <si>
    <t>VMS78</t>
  </si>
  <si>
    <t>طريق خريص - ميدان المعيزيلة - شرق</t>
  </si>
  <si>
    <t>VMS MAIZALIA EB</t>
  </si>
  <si>
    <t>VMS79</t>
  </si>
  <si>
    <t>طريق الشيخ جابر الصباح - خريص - جنوب</t>
  </si>
  <si>
    <t>VMS80</t>
  </si>
  <si>
    <t>طريق خريص - الحرس الوطني - شرق</t>
  </si>
  <si>
    <t>VMS81</t>
  </si>
  <si>
    <t>مخرج 19 - الطريق الدائري الجنوبي - غرب</t>
  </si>
  <si>
    <t>VMS82</t>
  </si>
  <si>
    <t>مخرج 15 - الطريق الدائري الشرقي - جنوب</t>
  </si>
  <si>
    <t>VMS EXIT 15 SB</t>
  </si>
  <si>
    <t>VMS83</t>
  </si>
  <si>
    <t>مخرج 24 طريق خريص - غرب</t>
  </si>
  <si>
    <t>VMS84</t>
  </si>
  <si>
    <t>مخرج 24 طريق خريص شرق</t>
  </si>
  <si>
    <t>VMS EXIT 24 KHURAIS EB</t>
  </si>
  <si>
    <t>VMS85</t>
  </si>
  <si>
    <t>مخرج 26 طريق خريص - غرب</t>
  </si>
  <si>
    <t>VMS86</t>
  </si>
  <si>
    <t>مخرج 28 طريق خريص - شرق</t>
  </si>
  <si>
    <t>VMS87</t>
  </si>
  <si>
    <t>طريق خريص نفق أكاديمية التدريب - شرق</t>
  </si>
  <si>
    <t>VMS88</t>
  </si>
  <si>
    <t>طريق الملك سلمان - الملك فهد - شرق</t>
  </si>
  <si>
    <t>VMS89</t>
  </si>
  <si>
    <t xml:space="preserve"> طريق مكة المكرمة  مخرج أم الحمام - شرق</t>
  </si>
  <si>
    <t>VMS UMALHAMMAM EB</t>
  </si>
  <si>
    <t>VMS90</t>
  </si>
  <si>
    <t xml:space="preserve"> طريق مكة المكرمة مخرج أم الحمام -غرب</t>
  </si>
  <si>
    <t>VMS91</t>
  </si>
  <si>
    <t xml:space="preserve"> طريق مكة المكرمة - ميدان القاهرة - شرق</t>
  </si>
  <si>
    <t>VMS92</t>
  </si>
  <si>
    <t>طريق جدة  مدخل الرياض - إتجاه الرياض</t>
  </si>
  <si>
    <t>VMS93</t>
  </si>
  <si>
    <t>طريق الدائري الشرقي مخرج 13 - شمال</t>
  </si>
  <si>
    <t>VMS EXIT 13 NB</t>
  </si>
  <si>
    <t>VMS94</t>
  </si>
  <si>
    <t>طريق الدائري الشرقي مخرج 17 - شمال</t>
  </si>
  <si>
    <t>VMS95</t>
  </si>
  <si>
    <t>طريق الملك فهد - ميدان الجزائر - جنوب</t>
  </si>
  <si>
    <t>VMS EXIT 23  SB</t>
  </si>
  <si>
    <t>VMS96</t>
  </si>
  <si>
    <t>طريق خريص - نفق اكاديمية الأمير نايف - غرب</t>
  </si>
  <si>
    <t>VMS97</t>
  </si>
  <si>
    <t>NAME</t>
  </si>
  <si>
    <t>CCTV#</t>
  </si>
  <si>
    <t>مخرج 1 -  الدائري الشمالي - غرب</t>
  </si>
  <si>
    <t>EXIT1_W</t>
  </si>
  <si>
    <t>CCTV1</t>
  </si>
  <si>
    <t>مخرج 1 الى 2 - الدائري الشمالي - شرق - جانتري (1)</t>
  </si>
  <si>
    <t>EX1TO2-E-1</t>
  </si>
  <si>
    <t>CCTV2</t>
  </si>
  <si>
    <t>مخرج 1 الى  2 - الدائري الشمالي - شرق - جانتري (2)</t>
  </si>
  <si>
    <t>EX1TO2-E-2</t>
  </si>
  <si>
    <t>CCTV3</t>
  </si>
  <si>
    <t>مخرج 2 الى 1 - الدائري الشمالي -غرب - جانتري (1)</t>
  </si>
  <si>
    <t>EX2TO1-W-1</t>
  </si>
  <si>
    <t>مخرج 2 الى 1 - الدائري الشمالي -غرب -جانتري (2)</t>
  </si>
  <si>
    <t>EX2TO1-W-2</t>
  </si>
  <si>
    <t>CCTV5</t>
  </si>
  <si>
    <t>مخرج 3 الى  2 - الدائري الشمالي - غرب - جانتري (1)</t>
  </si>
  <si>
    <t>EX3TO2-W-1</t>
  </si>
  <si>
    <t>CCTV6</t>
  </si>
  <si>
    <t>مخرج 3 الى  2 - الدائري الشمالي- غرب - جانتري (2)</t>
  </si>
  <si>
    <t>EX3TO2-W-2</t>
  </si>
  <si>
    <t>CCTV7</t>
  </si>
  <si>
    <t>عمود مخرج 3 - الدائري الشمالي - غرب</t>
  </si>
  <si>
    <t>EX3-W-POLE</t>
  </si>
  <si>
    <t>CCTV8</t>
  </si>
  <si>
    <t>مخرج 3 الى 4 -  الدائري الشمالي - شرق</t>
  </si>
  <si>
    <t>EX3TO4-E</t>
  </si>
  <si>
    <t>CCTV9</t>
  </si>
  <si>
    <t xml:space="preserve">شاشة مخرج  4 - الدائري الشمالي - غرب </t>
  </si>
  <si>
    <t>EX4-VMS-W</t>
  </si>
  <si>
    <t>CCTV10</t>
  </si>
  <si>
    <t>مخرج 4 الى  5 - الدائري الشمالي - شرق - جانتري (1)</t>
  </si>
  <si>
    <t>EX4TO5-E-1</t>
  </si>
  <si>
    <t>CCTV11</t>
  </si>
  <si>
    <t>مخرج 4 الى  5-  الدائري الشمالي - شرق - جانتري (2)</t>
  </si>
  <si>
    <t>EX4TO5-E-2</t>
  </si>
  <si>
    <t>CCTV12</t>
  </si>
  <si>
    <t>مخرج 5 الى 6 -  الدائري الشمالي - شرق - جانتري (1)</t>
  </si>
  <si>
    <t>EX5TO6-E-1</t>
  </si>
  <si>
    <t>CCTV13</t>
  </si>
  <si>
    <t>مخرج 5 الى 6 - الدائري الشمالي - شرق - جانتري (2)</t>
  </si>
  <si>
    <t>EX5TO6-E-2</t>
  </si>
  <si>
    <t>مخرج 6 الى 5 -  الدائري الشمالي - غرب - جانتري (1)</t>
  </si>
  <si>
    <t>EX6TO5-W-1</t>
  </si>
  <si>
    <t>مخرج 6 الى 5 -  الدائري الشمالي - غرب - جانتري (2)</t>
  </si>
  <si>
    <t>EX6TO5-W-2</t>
  </si>
  <si>
    <t>مخرج 6 الى 7 - الدائري الشمالي - شرق - جانتري (1)</t>
  </si>
  <si>
    <t>EX6TO7-E-1</t>
  </si>
  <si>
    <t>CCTV17</t>
  </si>
  <si>
    <t>طريق أبو بكر  - طريق الأمير محمد بن سلمان - شمال</t>
  </si>
  <si>
    <t>ABUBAKR_EX7_N</t>
  </si>
  <si>
    <t>CCTV18</t>
  </si>
  <si>
    <t>مخرج 7 الى 6 -  الدائري الشمالي - غرب - جانتري (1)</t>
  </si>
  <si>
    <t>EX7TO6-W-1</t>
  </si>
  <si>
    <t>CCTV19</t>
  </si>
  <si>
    <t>مخرج 7 الى  6 - الدائري الشمالي - غرب - جانتري (2)</t>
  </si>
  <si>
    <t>EX7TO6-W-2</t>
  </si>
  <si>
    <t>CCTV20</t>
  </si>
  <si>
    <t xml:space="preserve">مخرج 7 الى 8 - الدائري الشمالي - شرق (1) </t>
  </si>
  <si>
    <t>EX7TO8-E-1</t>
  </si>
  <si>
    <t>CCTV21</t>
  </si>
  <si>
    <t xml:space="preserve">مخرج 7 الى 8 - الدائري الشمالي - شرق (2) </t>
  </si>
  <si>
    <t>EX7TO8-E-2</t>
  </si>
  <si>
    <t>CCTV22</t>
  </si>
  <si>
    <t>طريق الملك فهد - الملك سلمان - جنوب</t>
  </si>
  <si>
    <t>KFHD-KSALMN-S</t>
  </si>
  <si>
    <t>CCTV23</t>
  </si>
  <si>
    <t xml:space="preserve"> طريق الملك سلمان -  الملك فهد - شرق</t>
  </si>
  <si>
    <t>KSALMN-KFHD-E</t>
  </si>
  <si>
    <t>CCTV24</t>
  </si>
  <si>
    <t>طريق الملك فهد - الملك سلمان - شمال</t>
  </si>
  <si>
    <t>KFHD-KSALMN-N</t>
  </si>
  <si>
    <t>CCTV25</t>
  </si>
  <si>
    <t>شاشة طريق الملك عبدالعزيز - الملك سلمان - شرق</t>
  </si>
  <si>
    <t>KABDAZIZ-VMS-E</t>
  </si>
  <si>
    <t xml:space="preserve">شاشة طريق الملك سلمان - أبو بكر - شرق </t>
  </si>
  <si>
    <t>ABUBKR-VMS-E</t>
  </si>
  <si>
    <t>CCTV27</t>
  </si>
  <si>
    <t>شاشة طريق الملك سلمان - عثمان بن عفان - غرب</t>
  </si>
  <si>
    <t>UTHMAN-VMS-W</t>
  </si>
  <si>
    <t>عمود قبل شاشة طريق الدمام - غرب</t>
  </si>
  <si>
    <t>DAMM-POLE-W</t>
  </si>
  <si>
    <t xml:space="preserve"> طريق جابر الصباح - الدمام - غرب </t>
  </si>
  <si>
    <t>JABR-DMM-W</t>
  </si>
  <si>
    <t>CCTV30</t>
  </si>
  <si>
    <t xml:space="preserve"> طريق جابر الصباح - الدمام - شرق </t>
  </si>
  <si>
    <t>JABR-DMM-E</t>
  </si>
  <si>
    <t>CCTV31</t>
  </si>
  <si>
    <t>مخرج 9 الى 8 - الدائري الشرقي - شمال</t>
  </si>
  <si>
    <t>EX9TO8-N</t>
  </si>
  <si>
    <t>CCTV32</t>
  </si>
  <si>
    <t xml:space="preserve">مخرج 9 - الدائري الشرقي - جنوب </t>
  </si>
  <si>
    <t>EXIT9-S</t>
  </si>
  <si>
    <t>مخرج 11 الى 10 - الدائري الشرقي - شمال</t>
  </si>
  <si>
    <t>EX11TO10-N</t>
  </si>
  <si>
    <t>CCTV34</t>
  </si>
  <si>
    <t>مخرج 11 الى 12 - الدائري الشرقي  - جنوب</t>
  </si>
  <si>
    <t>EX11TO12-S</t>
  </si>
  <si>
    <t>CCTV35</t>
  </si>
  <si>
    <t xml:space="preserve">مخرج 12 الى 11 - الدائري الشرقي - شمال </t>
  </si>
  <si>
    <t>EX12TO11-N</t>
  </si>
  <si>
    <t>CCTV36</t>
  </si>
  <si>
    <t>مخرج 12 الى 13 - الدائري الشرقي  - جنوب</t>
  </si>
  <si>
    <t>EX12TO13-S</t>
  </si>
  <si>
    <t>عمود مخرج 13 - الدائري الشرقي - شمال (1)</t>
  </si>
  <si>
    <t>EXIT13-POLE-N-1</t>
  </si>
  <si>
    <t>عمود مخرج 13 - الدائري الشرقي - شمال (2)</t>
  </si>
  <si>
    <t>EXIT13-POLE-N-2</t>
  </si>
  <si>
    <t>CCTV39</t>
  </si>
  <si>
    <t>مخرج 13 الى 14 - الدائري الشرقي  - جنوب (1)</t>
  </si>
  <si>
    <t>EX13TO14-S-1</t>
  </si>
  <si>
    <t>CCTV40</t>
  </si>
  <si>
    <t>مخرج 13 الى 14 - الدائري الشرقي  - جنوب (2)</t>
  </si>
  <si>
    <t>EX13TO14-S-2</t>
  </si>
  <si>
    <t>CCTV41</t>
  </si>
  <si>
    <t>شاشة مخرج 24  - خريص - شرق</t>
  </si>
  <si>
    <t>EX24-KHU-VMS-E</t>
  </si>
  <si>
    <t>CCTV42</t>
  </si>
  <si>
    <t>شاشة مخرج 24  - خريص - غرب</t>
  </si>
  <si>
    <t>EX24-KHU-VMS-W</t>
  </si>
  <si>
    <t>CCTV43</t>
  </si>
  <si>
    <t>شاشة مخرج 26  - خريص - غرب</t>
  </si>
  <si>
    <t>EX26-KHU-VMS-W</t>
  </si>
  <si>
    <t>CCTV44</t>
  </si>
  <si>
    <t>شاشة مخرج 28  - خريص - شرق</t>
  </si>
  <si>
    <t>EX28-KHU-VMS-E</t>
  </si>
  <si>
    <t>CCTV45</t>
  </si>
  <si>
    <t>شاشة مخرج 30 - خريص - غرب</t>
  </si>
  <si>
    <t>EX30-KHU-VMS-W</t>
  </si>
  <si>
    <t>CCTV46</t>
  </si>
  <si>
    <t>شاشة أكاديمية التدريب - شرق</t>
  </si>
  <si>
    <t>TDREEB-VMS-E</t>
  </si>
  <si>
    <t>CCTV47</t>
  </si>
  <si>
    <t>طريق الجنادرية بعد نفق الأمير نايف - شمال</t>
  </si>
  <si>
    <t>JANADRIA-N</t>
  </si>
  <si>
    <t>CCTV48</t>
  </si>
  <si>
    <t>مخرج 14 الى 13 - الدائري الشرقي - شمال</t>
  </si>
  <si>
    <t>EX14TO13-N</t>
  </si>
  <si>
    <t>الدائري الشرقي الفرعي مخرج 14 جنوب</t>
  </si>
  <si>
    <t>EXIT14-S</t>
  </si>
  <si>
    <t>الدائري الشرقي الفرعي مخرج 14 شمال</t>
  </si>
  <si>
    <t>EXIT14-N</t>
  </si>
  <si>
    <t>CCTV51</t>
  </si>
  <si>
    <t>شاشة مخرج 15 - الدائري الشرقي - جنوب</t>
  </si>
  <si>
    <t>EX15-VMS-S</t>
  </si>
  <si>
    <t>CCTV52</t>
  </si>
  <si>
    <t>مخرج 15 - الدائري الشرقي - شمال</t>
  </si>
  <si>
    <t>EXIT15-N</t>
  </si>
  <si>
    <t>CCTV53</t>
  </si>
  <si>
    <t>مخرج 15 الى 16 - الدائري الشرقي  - جنوب</t>
  </si>
  <si>
    <t>EX15TO16-S</t>
  </si>
  <si>
    <t>CCTV54</t>
  </si>
  <si>
    <t>عمود مخرج 16 الى 15 - الدائري الشرقي - شمال</t>
  </si>
  <si>
    <t>EX16TO15-POLE-N</t>
  </si>
  <si>
    <t>مخرج 18 الى 17 - الدائري الشرقي - شمال</t>
  </si>
  <si>
    <t>EX18TO17-N</t>
  </si>
  <si>
    <t>CCTV56</t>
  </si>
  <si>
    <t>مخرج 17 الى 18 - الدائري الشرقي  - جنوب</t>
  </si>
  <si>
    <t>EX17TO18-S</t>
  </si>
  <si>
    <t>CCTV57</t>
  </si>
  <si>
    <t>عمود طريق الخرج- شمال</t>
  </si>
  <si>
    <t>KHARJ-RD-POLE-N</t>
  </si>
  <si>
    <t>عمود طريق الخرج - جنوب</t>
  </si>
  <si>
    <t>KHARJ-RD-POLE-S</t>
  </si>
  <si>
    <t>CCTV59</t>
  </si>
  <si>
    <t>مخرج 18 -الدائري الجنوبي - غرب</t>
  </si>
  <si>
    <t>EXIT18-W</t>
  </si>
  <si>
    <t>CCTV60</t>
  </si>
  <si>
    <t>شاشة مخرج 19 - الدائري الجنوبي - غرب</t>
  </si>
  <si>
    <t>EX19-VMS-W</t>
  </si>
  <si>
    <t xml:space="preserve">الحرس الوطني - خريص -  شرق </t>
  </si>
  <si>
    <t>NGUARD-KHU-E</t>
  </si>
  <si>
    <t>CCTV62</t>
  </si>
  <si>
    <t>مكه المكرمة -  الملك سعود - غرب</t>
  </si>
  <si>
    <t>MAK-SAUD-W</t>
  </si>
  <si>
    <t>CCTV63</t>
  </si>
  <si>
    <t>مكه المكرمة - مدينة الملك فهد الطبية - غرب</t>
  </si>
  <si>
    <t>MAK-KFMC-W</t>
  </si>
  <si>
    <t>CCTV64</t>
  </si>
  <si>
    <t>مكه المكرمة - الملك سعود - شرق</t>
  </si>
  <si>
    <t>MAK-SAUD-E</t>
  </si>
  <si>
    <t>CCTV65</t>
  </si>
  <si>
    <t>مكه المكرمة -الضباب - غرب</t>
  </si>
  <si>
    <t>MAK-DABAB-W</t>
  </si>
  <si>
    <t>CCTV66</t>
  </si>
  <si>
    <t>مكه المكرمة -الضباب - شرق</t>
  </si>
  <si>
    <t>MAK-DABAB-E</t>
  </si>
  <si>
    <t>CCTV67</t>
  </si>
  <si>
    <t>عمود طريق الملك فهد -  مكة المكرمة - شمال</t>
  </si>
  <si>
    <t>KFAH-MAK-POLE-N</t>
  </si>
  <si>
    <t>عمود طريق الملك فهد -  مكة المكرمة - غرب</t>
  </si>
  <si>
    <t>KFAH-MAK-POLE-W</t>
  </si>
  <si>
    <t>CCTV69</t>
  </si>
  <si>
    <t>عمود طريق مكة المكرمة -  التخصصي - غرب</t>
  </si>
  <si>
    <t>MAK-TKHSOSI-POLE-W</t>
  </si>
  <si>
    <t>U1-SN-1</t>
  </si>
  <si>
    <t>U1-NS-1</t>
  </si>
  <si>
    <t>CCTV72</t>
  </si>
  <si>
    <t>U1-OUT-N</t>
  </si>
  <si>
    <t>CCTV73</t>
  </si>
  <si>
    <t>U1-OT-S</t>
  </si>
  <si>
    <t>CCTV74</t>
  </si>
  <si>
    <t>U1-ROOM</t>
  </si>
  <si>
    <t>CCTV75</t>
  </si>
  <si>
    <t xml:space="preserve">تقاطع شارع العليا مع شارع المعذرـــ وزارة الداخلية </t>
  </si>
  <si>
    <t>U2-SN</t>
  </si>
  <si>
    <t>U2-NS</t>
  </si>
  <si>
    <t>CCTV77</t>
  </si>
  <si>
    <t>U2-OT-N</t>
  </si>
  <si>
    <t>CCTV78</t>
  </si>
  <si>
    <t>U2-OT-S</t>
  </si>
  <si>
    <t>CCTV79</t>
  </si>
  <si>
    <t xml:space="preserve">تقاطع شارع الناصرية مع شارع المعذر – التخصصي </t>
  </si>
  <si>
    <t>U3-SN2</t>
  </si>
  <si>
    <t>U3-Room</t>
  </si>
  <si>
    <t>CCTV81</t>
  </si>
  <si>
    <t>U3-NS-2</t>
  </si>
  <si>
    <t>CCTV82</t>
  </si>
  <si>
    <t>U3-SN-3</t>
  </si>
  <si>
    <t>CCTV83</t>
  </si>
  <si>
    <t>U3-NS-1</t>
  </si>
  <si>
    <t>CCTV84</t>
  </si>
  <si>
    <t>U3-SN-1</t>
  </si>
  <si>
    <t>CCTV85</t>
  </si>
  <si>
    <t>U3-SN-4</t>
  </si>
  <si>
    <t>CCTV86</t>
  </si>
  <si>
    <t xml:space="preserve">تقاطع شارع الملك خالد مع شارع المعذر </t>
  </si>
  <si>
    <t>U4--WE</t>
  </si>
  <si>
    <t>U4-EW2</t>
  </si>
  <si>
    <t>CCTV88</t>
  </si>
  <si>
    <t>U4-Room</t>
  </si>
  <si>
    <t>CCTV89</t>
  </si>
  <si>
    <t>U4-EW3</t>
  </si>
  <si>
    <t>CCTV90</t>
  </si>
  <si>
    <t>U4-EW1</t>
  </si>
  <si>
    <t>CCTV91</t>
  </si>
  <si>
    <t xml:space="preserve">تقاطع طريق الملك فهد مع طريق الأمير محمد بن عبد العزيز  </t>
  </si>
  <si>
    <t>U5_SN-2</t>
  </si>
  <si>
    <t>CCTV92</t>
  </si>
  <si>
    <t>U5_NS-1</t>
  </si>
  <si>
    <t>CCTV93</t>
  </si>
  <si>
    <t>ROOM_U5</t>
  </si>
  <si>
    <t>CCTV94</t>
  </si>
  <si>
    <t>GAT_U5_N</t>
  </si>
  <si>
    <t>CCTV95</t>
  </si>
  <si>
    <t>GAT_U5_S</t>
  </si>
  <si>
    <t>CCTV96</t>
  </si>
  <si>
    <t>U5_NS-2</t>
  </si>
  <si>
    <t>CCTV97</t>
  </si>
  <si>
    <t>U5-SN-1</t>
  </si>
  <si>
    <t>CCTV98</t>
  </si>
  <si>
    <t>U5-OUT-N</t>
  </si>
  <si>
    <t>U5-OUT-S</t>
  </si>
  <si>
    <t>CCTV100</t>
  </si>
  <si>
    <t>U5-ROOM2</t>
  </si>
  <si>
    <t>CCTV101</t>
  </si>
  <si>
    <t xml:space="preserve">تقاطع طريق الخرج مع طريق عمر بن الخطاب – ميدان العمل </t>
  </si>
  <si>
    <t>U6_21-sn-1</t>
  </si>
  <si>
    <t>CCTV102</t>
  </si>
  <si>
    <t>U6_21-ns_2</t>
  </si>
  <si>
    <t>CCTV103</t>
  </si>
  <si>
    <t>U6_21-sn_2</t>
  </si>
  <si>
    <t>CCTV104</t>
  </si>
  <si>
    <t>U6_21-room</t>
  </si>
  <si>
    <t>CCTV105</t>
  </si>
  <si>
    <t>U6_21-pump</t>
  </si>
  <si>
    <t>CCTV106</t>
  </si>
  <si>
    <t>U6_21-ns_3</t>
  </si>
  <si>
    <t>CCTV107</t>
  </si>
  <si>
    <t>U6_21-ns_1</t>
  </si>
  <si>
    <t>CCTV108</t>
  </si>
  <si>
    <t>U6_21-ns_4</t>
  </si>
  <si>
    <t>CCTV109</t>
  </si>
  <si>
    <t>U6-31-ew-1</t>
  </si>
  <si>
    <t>U6-31-room</t>
  </si>
  <si>
    <t>CCTV111</t>
  </si>
  <si>
    <t>U6-31-pump</t>
  </si>
  <si>
    <t>CCTV112</t>
  </si>
  <si>
    <t>U6-31-we-1</t>
  </si>
  <si>
    <t>U6-31-we-3</t>
  </si>
  <si>
    <t>u6-41-ns2</t>
  </si>
  <si>
    <t>CCTV115</t>
  </si>
  <si>
    <t>U6-41-sn</t>
  </si>
  <si>
    <t>CCTV116</t>
  </si>
  <si>
    <t>u6-41-pump</t>
  </si>
  <si>
    <t>CCTV117</t>
  </si>
  <si>
    <t>u6-41-room</t>
  </si>
  <si>
    <t>CCTV118</t>
  </si>
  <si>
    <t>u6-41-ns-1</t>
  </si>
  <si>
    <t>CCTV119</t>
  </si>
  <si>
    <t>u6-41-ns-3</t>
  </si>
  <si>
    <t>CCTV120</t>
  </si>
  <si>
    <t xml:space="preserve">تقاطع طريق المدينة المنورة مع علي بن أبي طالب </t>
  </si>
  <si>
    <t>u7-1-we2</t>
  </si>
  <si>
    <t>u7-1-ew1</t>
  </si>
  <si>
    <t>CCTV122</t>
  </si>
  <si>
    <t>u7-1-room</t>
  </si>
  <si>
    <t>CCTV123</t>
  </si>
  <si>
    <t>u7-1-pump</t>
  </si>
  <si>
    <t>CCTV124</t>
  </si>
  <si>
    <t>u7-1-ew2</t>
  </si>
  <si>
    <t>CCTV125</t>
  </si>
  <si>
    <t>u7-1-we3</t>
  </si>
  <si>
    <t>CCTV126</t>
  </si>
  <si>
    <t>u7-1-we1</t>
  </si>
  <si>
    <t>CCTV127</t>
  </si>
  <si>
    <t>u7-1-we4</t>
  </si>
  <si>
    <t>CCTV128</t>
  </si>
  <si>
    <t>u7-1-room2</t>
  </si>
  <si>
    <t>CCTV129</t>
  </si>
  <si>
    <t>u7-2-we-2</t>
  </si>
  <si>
    <t>CCTV130</t>
  </si>
  <si>
    <t>u7-2-ew1</t>
  </si>
  <si>
    <t>CCTV131</t>
  </si>
  <si>
    <t>u7-2-we-3</t>
  </si>
  <si>
    <t>CCTV132</t>
  </si>
  <si>
    <t>u7-2-pump</t>
  </si>
  <si>
    <t>CCTV133</t>
  </si>
  <si>
    <t>u7-2-room</t>
  </si>
  <si>
    <t>CCTV134</t>
  </si>
  <si>
    <t>u7-2-ew2</t>
  </si>
  <si>
    <t>CCTV135</t>
  </si>
  <si>
    <t>u7-2-we4</t>
  </si>
  <si>
    <t>CCTV136</t>
  </si>
  <si>
    <t>u7-2-we1</t>
  </si>
  <si>
    <t>CCTV137</t>
  </si>
  <si>
    <t xml:space="preserve">تقاطع طريق عمر بن عبد العزيز مع طريق النهضة </t>
  </si>
  <si>
    <t>u8-we-2</t>
  </si>
  <si>
    <t>u8-we-1</t>
  </si>
  <si>
    <t>CCTV139</t>
  </si>
  <si>
    <t>u8-ew1</t>
  </si>
  <si>
    <t>CCTV140</t>
  </si>
  <si>
    <t>u8-ew2</t>
  </si>
  <si>
    <t>CCTV141</t>
  </si>
  <si>
    <t>u8-room1</t>
  </si>
  <si>
    <t>CCTV142</t>
  </si>
  <si>
    <t>u8-west-gate</t>
  </si>
  <si>
    <t>CCTV143</t>
  </si>
  <si>
    <t>u8-room2</t>
  </si>
  <si>
    <t>CCTV144</t>
  </si>
  <si>
    <t>u8-we-3</t>
  </si>
  <si>
    <t>CCTV145</t>
  </si>
  <si>
    <t>u8-ew3</t>
  </si>
  <si>
    <t>CCTV146</t>
  </si>
  <si>
    <t>u8-east-gate</t>
  </si>
  <si>
    <t>CCTV147</t>
  </si>
  <si>
    <t>u9-ew-2</t>
  </si>
  <si>
    <t>u9-we-1</t>
  </si>
  <si>
    <t>CCTV149</t>
  </si>
  <si>
    <t>u9-room</t>
  </si>
  <si>
    <t>CCTV150</t>
  </si>
  <si>
    <t>u9-ew-1</t>
  </si>
  <si>
    <t>CCTV151</t>
  </si>
  <si>
    <t>u9-ew-3</t>
  </si>
  <si>
    <t>CCTV152</t>
  </si>
  <si>
    <t xml:space="preserve">تقاطع شارع الوشم مع شارع الناصرية - وزارة الخارجية </t>
  </si>
  <si>
    <t>u10-rg-room</t>
  </si>
  <si>
    <t>CCTV153</t>
  </si>
  <si>
    <t>u10-rg-we</t>
  </si>
  <si>
    <t>CCTV154</t>
  </si>
  <si>
    <t>u10-rg-ew-2</t>
  </si>
  <si>
    <t>CCTV155</t>
  </si>
  <si>
    <t>u10-rg-ew-1</t>
  </si>
  <si>
    <t>CCTV156</t>
  </si>
  <si>
    <t>u10-rg-ew-3</t>
  </si>
  <si>
    <t>CCTV157</t>
  </si>
  <si>
    <t>u10-22-we2</t>
  </si>
  <si>
    <t>u10-22-ew2</t>
  </si>
  <si>
    <t>CCTV159</t>
  </si>
  <si>
    <t>u10-22-pump</t>
  </si>
  <si>
    <t>CCTV160</t>
  </si>
  <si>
    <t>u10-22-ew3</t>
  </si>
  <si>
    <t>CCTV161</t>
  </si>
  <si>
    <t>u10-22-ew1</t>
  </si>
  <si>
    <t>CCTV162</t>
  </si>
  <si>
    <t>u10-22-ew4</t>
  </si>
  <si>
    <t>CCTV163</t>
  </si>
  <si>
    <t>u10-22-we1</t>
  </si>
  <si>
    <t>CCTV164</t>
  </si>
  <si>
    <t>u10-32-ew2</t>
  </si>
  <si>
    <t>CCTV165</t>
  </si>
  <si>
    <t>u10-32-we</t>
  </si>
  <si>
    <t>CCTV166</t>
  </si>
  <si>
    <t>u10-32-pump</t>
  </si>
  <si>
    <t>CCTV167</t>
  </si>
  <si>
    <t>u10-32-room</t>
  </si>
  <si>
    <t>CCTV168</t>
  </si>
  <si>
    <t>u10-32-ew1</t>
  </si>
  <si>
    <t>CCTV169</t>
  </si>
  <si>
    <t>u10-32-ew3</t>
  </si>
  <si>
    <t>CCTV170</t>
  </si>
  <si>
    <t>u10-52ew2</t>
  </si>
  <si>
    <t>CCTV171</t>
  </si>
  <si>
    <t>u10-52ew1</t>
  </si>
  <si>
    <t>CCTV172</t>
  </si>
  <si>
    <t>u10-52-pump</t>
  </si>
  <si>
    <t>CCTV173</t>
  </si>
  <si>
    <t>u10-52-room</t>
  </si>
  <si>
    <t>CCTV174</t>
  </si>
  <si>
    <t>u10-52-we</t>
  </si>
  <si>
    <t>CCTV175</t>
  </si>
  <si>
    <t>u10-52-we3</t>
  </si>
  <si>
    <t>CCTV176</t>
  </si>
  <si>
    <t>u10-72-sn2</t>
  </si>
  <si>
    <t>CCTV177</t>
  </si>
  <si>
    <t>u10-72-pump</t>
  </si>
  <si>
    <t>CCTV178</t>
  </si>
  <si>
    <t>u10-72-room</t>
  </si>
  <si>
    <t>CCTV179</t>
  </si>
  <si>
    <t>u10-72-sn4</t>
  </si>
  <si>
    <t>CCTV180</t>
  </si>
  <si>
    <t>u10-72-sn1</t>
  </si>
  <si>
    <t>CCTV181</t>
  </si>
  <si>
    <t>u10-72-sn3</t>
  </si>
  <si>
    <t>CCTV182</t>
  </si>
  <si>
    <t>U11-1sn2</t>
  </si>
  <si>
    <t>U11-1sn3</t>
  </si>
  <si>
    <t>CCTV184</t>
  </si>
  <si>
    <t>U11-1-pump</t>
  </si>
  <si>
    <t>CCTV185</t>
  </si>
  <si>
    <t>U11-1-room</t>
  </si>
  <si>
    <t>CCTV186</t>
  </si>
  <si>
    <t>U11-1-room2</t>
  </si>
  <si>
    <t>CCTV187</t>
  </si>
  <si>
    <t>U11-2-ns3</t>
  </si>
  <si>
    <t>CCTV188</t>
  </si>
  <si>
    <t>U11-2-ns2</t>
  </si>
  <si>
    <t>CCTV189</t>
  </si>
  <si>
    <t>U11-2-pump</t>
  </si>
  <si>
    <t>CCTV190</t>
  </si>
  <si>
    <t>U11-2-room</t>
  </si>
  <si>
    <t>CCTV191</t>
  </si>
  <si>
    <t>U11-2-ns1</t>
  </si>
  <si>
    <t>CCTV192</t>
  </si>
  <si>
    <t>U11-2-ns4</t>
  </si>
  <si>
    <t>CCTV193</t>
  </si>
  <si>
    <t>U11-2-sn1</t>
  </si>
  <si>
    <t>CCTV194</t>
  </si>
  <si>
    <t xml:space="preserve">طريق أبو عبيدة بن الجراح - بعد تقاطعه مع الدائري الشرقي باتجاه الشرق </t>
  </si>
  <si>
    <t>U12-room</t>
  </si>
  <si>
    <t>CCTV195</t>
  </si>
  <si>
    <t>U12-ew2</t>
  </si>
  <si>
    <t>U12-we1</t>
  </si>
  <si>
    <t>CCTV197</t>
  </si>
  <si>
    <t>U12-ew1</t>
  </si>
  <si>
    <t>CCTV198</t>
  </si>
  <si>
    <t>U12-ew3</t>
  </si>
  <si>
    <t>CCTV199</t>
  </si>
  <si>
    <t>U12-2-ew1</t>
  </si>
  <si>
    <t>CCTV200</t>
  </si>
  <si>
    <t>U12-2-we3</t>
  </si>
  <si>
    <t>CCTV201</t>
  </si>
  <si>
    <t>U12-2-we1</t>
  </si>
  <si>
    <t>CCTV202</t>
  </si>
  <si>
    <t>U12-2-we2</t>
  </si>
  <si>
    <t>CCTV203</t>
  </si>
  <si>
    <t>U13-G-WE</t>
  </si>
  <si>
    <t>U13-G-EW</t>
  </si>
  <si>
    <t>U13-WE-1</t>
  </si>
  <si>
    <t>U13-WE-2</t>
  </si>
  <si>
    <t>CCTV207</t>
  </si>
  <si>
    <t>U13-EW-2</t>
  </si>
  <si>
    <t>CCTV208</t>
  </si>
  <si>
    <t>U13-PUMP</t>
  </si>
  <si>
    <t>CCTV209</t>
  </si>
  <si>
    <t>U13-EW-1</t>
  </si>
  <si>
    <t>CCTV210</t>
  </si>
  <si>
    <t>U13-ROOM</t>
  </si>
  <si>
    <t>CCTV211</t>
  </si>
  <si>
    <t>U13-OT-W</t>
  </si>
  <si>
    <t>CCTV212</t>
  </si>
  <si>
    <t>U13-OT-E</t>
  </si>
  <si>
    <t>CCTV213</t>
  </si>
  <si>
    <t>U14-1-room</t>
  </si>
  <si>
    <t>CCTV214</t>
  </si>
  <si>
    <t>U14-1-sn2</t>
  </si>
  <si>
    <t>U14-1-ns1</t>
  </si>
  <si>
    <t>CCTV216</t>
  </si>
  <si>
    <t>U14-1-sn3</t>
  </si>
  <si>
    <t>CCTV217</t>
  </si>
  <si>
    <t>U14-1-we1</t>
  </si>
  <si>
    <t>CCTV218</t>
  </si>
  <si>
    <t>U14-2-ns1</t>
  </si>
  <si>
    <t>CCTV219</t>
  </si>
  <si>
    <t>U14-2-we2</t>
  </si>
  <si>
    <t>CCTV220</t>
  </si>
  <si>
    <t>U14-2-room</t>
  </si>
  <si>
    <t>CCTV221</t>
  </si>
  <si>
    <t>U14-2-we1</t>
  </si>
  <si>
    <t>CCTV222</t>
  </si>
  <si>
    <t>U15-1-room</t>
  </si>
  <si>
    <t>CCTV223</t>
  </si>
  <si>
    <t>U15-1-ns1</t>
  </si>
  <si>
    <t>U15-1-sn2</t>
  </si>
  <si>
    <t>CCTV225</t>
  </si>
  <si>
    <t>U15-1-sn1</t>
  </si>
  <si>
    <t>CCTV226</t>
  </si>
  <si>
    <t>U15-2-ns1</t>
  </si>
  <si>
    <t>U15-2-sn1</t>
  </si>
  <si>
    <t>CCTV228</t>
  </si>
  <si>
    <t>U15-2-room</t>
  </si>
  <si>
    <t>CCTV229</t>
  </si>
  <si>
    <t>U15-2-ns2</t>
  </si>
  <si>
    <t>CCTV230</t>
  </si>
  <si>
    <t>U16-sn2</t>
  </si>
  <si>
    <t>U16-sn1</t>
  </si>
  <si>
    <t>CCTV232</t>
  </si>
  <si>
    <t>U16-ns3</t>
  </si>
  <si>
    <t>CCTV233</t>
  </si>
  <si>
    <t>U16-ns2</t>
  </si>
  <si>
    <t>CCTV234</t>
  </si>
  <si>
    <t>U16-room</t>
  </si>
  <si>
    <t>CCTV235</t>
  </si>
  <si>
    <t>U16-pump</t>
  </si>
  <si>
    <t>CCTV236</t>
  </si>
  <si>
    <t>U16-ns1</t>
  </si>
  <si>
    <t>CCTV237</t>
  </si>
  <si>
    <t>U16-ns4</t>
  </si>
  <si>
    <t>CCTV238</t>
  </si>
  <si>
    <t>U17-NS-2</t>
  </si>
  <si>
    <t>U17-SN-3</t>
  </si>
  <si>
    <t>CCTV240</t>
  </si>
  <si>
    <t>U17-NS-1</t>
  </si>
  <si>
    <t>CCTV241</t>
  </si>
  <si>
    <t>U17-SN-1</t>
  </si>
  <si>
    <t>CCTV242</t>
  </si>
  <si>
    <t>U17-ROOM</t>
  </si>
  <si>
    <t>CCTV243</t>
  </si>
  <si>
    <t>CCTV244</t>
  </si>
  <si>
    <t>U17-SN-2</t>
  </si>
  <si>
    <t>CCTV245</t>
  </si>
  <si>
    <t>U17-SN-4</t>
  </si>
  <si>
    <t>CCTV246</t>
  </si>
  <si>
    <t>U18-WE-1</t>
  </si>
  <si>
    <t>CCTV247</t>
  </si>
  <si>
    <t>U18-ROOM</t>
  </si>
  <si>
    <t>CCTV248</t>
  </si>
  <si>
    <t>U18-WE-2</t>
  </si>
  <si>
    <t>CCTV249</t>
  </si>
  <si>
    <t>U18-EW-1</t>
  </si>
  <si>
    <t>CCTV250</t>
  </si>
  <si>
    <t>U18-EW-2</t>
  </si>
  <si>
    <t>CCTV251</t>
  </si>
  <si>
    <t>U18-OT-W</t>
  </si>
  <si>
    <t>CCTV252</t>
  </si>
  <si>
    <t>U18-OT-E</t>
  </si>
  <si>
    <t>CCTV253</t>
  </si>
  <si>
    <t>U19-EW-1</t>
  </si>
  <si>
    <t>CCTV254</t>
  </si>
  <si>
    <t>U19-WE-2</t>
  </si>
  <si>
    <t>CCTV255</t>
  </si>
  <si>
    <t>U19-EW-2</t>
  </si>
  <si>
    <t>CCTV256</t>
  </si>
  <si>
    <t>U19-ROOM</t>
  </si>
  <si>
    <t>CCTV257</t>
  </si>
  <si>
    <t>U19_OT-W</t>
  </si>
  <si>
    <t>CCTV258</t>
  </si>
  <si>
    <t>U19-WE-1</t>
  </si>
  <si>
    <t>CCTV259</t>
  </si>
  <si>
    <t>U19-OT-E</t>
  </si>
  <si>
    <t>CCTV260</t>
  </si>
  <si>
    <t>Room_U20</t>
  </si>
  <si>
    <t>CCTV261</t>
  </si>
  <si>
    <t>U20-EW-1</t>
  </si>
  <si>
    <t>U20-EW-2</t>
  </si>
  <si>
    <t>CCTV263</t>
  </si>
  <si>
    <t>U20-WE-1</t>
  </si>
  <si>
    <t>CCTV264</t>
  </si>
  <si>
    <t>U20-WE-2</t>
  </si>
  <si>
    <t>CCTV265</t>
  </si>
  <si>
    <t>U20-EW-3</t>
  </si>
  <si>
    <t>CCTV266</t>
  </si>
  <si>
    <t>U20-WE-OUT</t>
  </si>
  <si>
    <t>CCTV267</t>
  </si>
  <si>
    <t>U20-WE-3</t>
  </si>
  <si>
    <t>CCTV268</t>
  </si>
  <si>
    <t>U20-EW-OUT</t>
  </si>
  <si>
    <t>CCTV269</t>
  </si>
  <si>
    <t>U21-EW-1</t>
  </si>
  <si>
    <t>U21-WE-1</t>
  </si>
  <si>
    <t>CCTV271</t>
  </si>
  <si>
    <t>U21-WE-2</t>
  </si>
  <si>
    <t>CCTV272</t>
  </si>
  <si>
    <t>U21-EW-2</t>
  </si>
  <si>
    <t>CCTV273</t>
  </si>
  <si>
    <t>U21-ROOM</t>
  </si>
  <si>
    <t>CCTV274</t>
  </si>
  <si>
    <t>U21-EW-3</t>
  </si>
  <si>
    <t>CCTV275</t>
  </si>
  <si>
    <t>U21-WE-OUT</t>
  </si>
  <si>
    <t>CCTV276</t>
  </si>
  <si>
    <t>U21-WE-3</t>
  </si>
  <si>
    <t>CCTV277</t>
  </si>
  <si>
    <t>U21-EW-OUT</t>
  </si>
  <si>
    <t>CCTV278</t>
  </si>
  <si>
    <t>تقاطع طريق الأمير تركي بن عبد العزيز الأول مع طريق الأمير محمد بن عبد العزيز</t>
  </si>
  <si>
    <t>U22_SN-2</t>
  </si>
  <si>
    <t>U22_SN-1</t>
  </si>
  <si>
    <t>CCTV280</t>
  </si>
  <si>
    <t>U22_NS-1</t>
  </si>
  <si>
    <t>CCTV281</t>
  </si>
  <si>
    <t>U22_NS-2</t>
  </si>
  <si>
    <t>CCTV282</t>
  </si>
  <si>
    <t>U22_OUT-N</t>
  </si>
  <si>
    <t>CCTV283</t>
  </si>
  <si>
    <t>U22_OUT-S</t>
  </si>
  <si>
    <t>CCTV284</t>
  </si>
  <si>
    <t>U22_ROOM</t>
  </si>
  <si>
    <t>CCTV285</t>
  </si>
  <si>
    <t>تقاطع طريق الأمير تركي بن عبد العزيز الأول مع  شارع موسى بن نصير</t>
  </si>
  <si>
    <t>U23_SN-1</t>
  </si>
  <si>
    <t>U23_NS-1</t>
  </si>
  <si>
    <t>CCTV287</t>
  </si>
  <si>
    <t>U23_ROOM</t>
  </si>
  <si>
    <t>CCTV288</t>
  </si>
  <si>
    <t>U23_OT_N</t>
  </si>
  <si>
    <t>CCTV289</t>
  </si>
  <si>
    <t>U23_OT_S</t>
  </si>
  <si>
    <t>CCTV290</t>
  </si>
  <si>
    <t>U23_NS-2</t>
  </si>
  <si>
    <t>CCTV291</t>
  </si>
  <si>
    <t>U23_SN-2</t>
  </si>
  <si>
    <t>CCTV292</t>
  </si>
  <si>
    <t>U23_NS-3</t>
  </si>
  <si>
    <t>CCTV293</t>
  </si>
  <si>
    <t>U23_SN-3</t>
  </si>
  <si>
    <t>CCTV294</t>
  </si>
  <si>
    <t>U23_NS-OUT</t>
  </si>
  <si>
    <t>CCTV295</t>
  </si>
  <si>
    <t>U23_ROOM2</t>
  </si>
  <si>
    <t>CCTV296</t>
  </si>
  <si>
    <t>U24_SN-2</t>
  </si>
  <si>
    <t>CCTV297</t>
  </si>
  <si>
    <t>U24_NS-2</t>
  </si>
  <si>
    <t>CCTV298</t>
  </si>
  <si>
    <t>U24_SN-1</t>
  </si>
  <si>
    <t>CCTV299</t>
  </si>
  <si>
    <t>U24_NS-1</t>
  </si>
  <si>
    <t>CCTV300</t>
  </si>
  <si>
    <t>U24_OUT-N</t>
  </si>
  <si>
    <t>CCTV301</t>
  </si>
  <si>
    <t>U24_OUT-S</t>
  </si>
  <si>
    <t>CCTV302</t>
  </si>
  <si>
    <t>طريق الأمير فيصل بن بندر بن عبد العزيز مع طريق الثمامة</t>
  </si>
  <si>
    <t>U25_IN</t>
  </si>
  <si>
    <t>U25_UND1</t>
  </si>
  <si>
    <t>CCTV304</t>
  </si>
  <si>
    <t>U25_UND2</t>
  </si>
  <si>
    <t>CCTV305</t>
  </si>
  <si>
    <t>U25_UND3</t>
  </si>
  <si>
    <t>CCTV306</t>
  </si>
  <si>
    <t>U25_UND4</t>
  </si>
  <si>
    <t>CCTV307</t>
  </si>
  <si>
    <t>U25_OUT</t>
  </si>
  <si>
    <t>CCTV308</t>
  </si>
  <si>
    <t>U25_ROOM</t>
  </si>
  <si>
    <t>CCTV309</t>
  </si>
  <si>
    <t>U26-ROOM-WS</t>
  </si>
  <si>
    <t>CCTV310</t>
  </si>
  <si>
    <t>U26-ROOM-ES</t>
  </si>
  <si>
    <t>CCTV311</t>
  </si>
  <si>
    <t>خزان أرضي - شارع الشيخ عبدالله العنقري - حي الملك سلمان</t>
  </si>
  <si>
    <t>T14-SLDN</t>
  </si>
  <si>
    <t>CCTV312</t>
  </si>
  <si>
    <t>خزان أرضي - شارع الأمير مقرن بن عبدالعزيز - حي النزهة</t>
  </si>
  <si>
    <t>T15-NOZH</t>
  </si>
  <si>
    <t>CCTV313</t>
  </si>
  <si>
    <t>خزان أرضي - شارع ظبية بنت البراء- حي  المصيف</t>
  </si>
  <si>
    <t>T16-MSEF</t>
  </si>
  <si>
    <t>CCTV314</t>
  </si>
  <si>
    <t xml:space="preserve">خزان أرضي - طريق النهضة </t>
  </si>
  <si>
    <t>T17-NAHDA</t>
  </si>
  <si>
    <t>CCTV315</t>
  </si>
  <si>
    <t>خزان أرضي -  تقاطع شارع العزيزية العام مع شارع النصر</t>
  </si>
  <si>
    <t>T18-AZIZIA1</t>
  </si>
  <si>
    <t>CCTV316</t>
  </si>
  <si>
    <t>خزان أرضي - تقاطع شارع العزيزية العام مع شارع سفيان بن عوف</t>
  </si>
  <si>
    <t>T19-AZIZIA2</t>
  </si>
  <si>
    <t>CCTV317</t>
  </si>
  <si>
    <t>خزان أرضي - شارع الرماة - حي  المروج</t>
  </si>
  <si>
    <t>T23-MORJ</t>
  </si>
  <si>
    <t>CCTV318</t>
  </si>
  <si>
    <t>تقاطع طريق الملك عبد العزيز مع شارع الجامعة (جسر الوشم)</t>
  </si>
  <si>
    <t>C16-WSHM_WE2</t>
  </si>
  <si>
    <t>C16-WSHM_WE3</t>
  </si>
  <si>
    <t>CCTV320</t>
  </si>
  <si>
    <t>C16-WSHM_WE1</t>
  </si>
  <si>
    <t>CCTV321</t>
  </si>
  <si>
    <t>C16-WSHM_WE4</t>
  </si>
  <si>
    <t>CCTV322</t>
  </si>
  <si>
    <t>C16-WSHM_WE5</t>
  </si>
  <si>
    <t>CCTV323</t>
  </si>
  <si>
    <t>C16-WSHM_EW3</t>
  </si>
  <si>
    <t>CCTV324</t>
  </si>
  <si>
    <t>C16-WSHM_EW1</t>
  </si>
  <si>
    <t>CCTV325</t>
  </si>
  <si>
    <t>C16-WSHM_EW2</t>
  </si>
  <si>
    <t>CCTV326</t>
  </si>
  <si>
    <t>C16-WSHM_PL_WE</t>
  </si>
  <si>
    <t>CCTV327</t>
  </si>
  <si>
    <t>C16-WSHM_PL_EW</t>
  </si>
  <si>
    <t>CCTV328</t>
  </si>
  <si>
    <t>نفق طريق الامام سعود بن عبدالعزيز تقاطع طريق الملك فهد (دلة)</t>
  </si>
  <si>
    <t>U101_DALLA_TN1</t>
  </si>
  <si>
    <t>U101_DALLA_TN2</t>
  </si>
  <si>
    <t>U101_DALLA_TN3</t>
  </si>
  <si>
    <t>U101_DALLA_TN4</t>
  </si>
  <si>
    <t>U101_DALLA_TN5</t>
  </si>
  <si>
    <t>CCTV333</t>
  </si>
  <si>
    <t>نفق تقاطع طريق الامام سعود بن عبدالعزيز مع شارع العليا</t>
  </si>
  <si>
    <t>U102_TN_EW</t>
  </si>
  <si>
    <t>CCTV334</t>
  </si>
  <si>
    <t>U102_TN_WE</t>
  </si>
  <si>
    <t>CCTV335</t>
  </si>
  <si>
    <t>نفق تقاطع طريق الامام سعود بن عبدالعزيز مع طريق عثمان بن عفان</t>
  </si>
  <si>
    <t>U103_OTHMAN_1</t>
  </si>
  <si>
    <t>CCTV336</t>
  </si>
  <si>
    <t>U103_OTHMAN_2</t>
  </si>
  <si>
    <t>CCTV337</t>
  </si>
  <si>
    <t>U103_OTHMAN_3</t>
  </si>
  <si>
    <t>CCTV338</t>
  </si>
  <si>
    <t>نفق تقاطع طريق الملك عبدالعزيز مع طريق مكة المكرمة (البترول)</t>
  </si>
  <si>
    <t>U104_Petrol_1</t>
  </si>
  <si>
    <t>U104_Petrol_2</t>
  </si>
  <si>
    <t>CCTV340</t>
  </si>
  <si>
    <t>U104_Petrol_3</t>
  </si>
  <si>
    <t>CCTV341</t>
  </si>
  <si>
    <t>U104_Petrol_4</t>
  </si>
  <si>
    <t>CCTV342</t>
  </si>
  <si>
    <t>Petrol_5_PUMP</t>
  </si>
  <si>
    <t>CCTV343</t>
  </si>
  <si>
    <t>U104_Petrol_6</t>
  </si>
  <si>
    <t>CCTV344</t>
  </si>
  <si>
    <t xml:space="preserve"> نفق تقاطع الطريق الدائري الشمالي مع طريق الملك فهد</t>
  </si>
  <si>
    <t>U105_TN_1</t>
  </si>
  <si>
    <t>CCTV345</t>
  </si>
  <si>
    <t>U105_TN_2</t>
  </si>
  <si>
    <t>CCTV346</t>
  </si>
  <si>
    <t>U105_TN_3</t>
  </si>
  <si>
    <t>CCTV347</t>
  </si>
  <si>
    <t>U105_TN_4</t>
  </si>
  <si>
    <t>CCTV348</t>
  </si>
  <si>
    <t xml:space="preserve">نفق طريق العليا تقاطع طريق الدائري الشمالي </t>
  </si>
  <si>
    <t>U106_OLAYA_TN1</t>
  </si>
  <si>
    <t>U106_OLAYA_TN2</t>
  </si>
  <si>
    <t>CCTV350</t>
  </si>
  <si>
    <t>U106_OLAYA_TN3</t>
  </si>
  <si>
    <t>CCTV351</t>
  </si>
  <si>
    <t>U106_OLAYA_TN4</t>
  </si>
  <si>
    <t>CCTV352</t>
  </si>
  <si>
    <t>U106_OLAYA_TN5</t>
  </si>
  <si>
    <t>CCTV353</t>
  </si>
  <si>
    <t>نفق تقاطع طريق مكة المكرمة مع طريق العليا</t>
  </si>
  <si>
    <t>Makka_OlayaTN1</t>
  </si>
  <si>
    <t>CCTV354</t>
  </si>
  <si>
    <t>Makka_OlayaTN2</t>
  </si>
  <si>
    <t>CCTV355</t>
  </si>
  <si>
    <t xml:space="preserve">
Makka_OlayaPMP</t>
  </si>
  <si>
    <t>CCTV356</t>
  </si>
  <si>
    <t>نفق تقاطع طريق الملك فهد  مع طريق العروبة</t>
  </si>
  <si>
    <t>UROUBA_TN1</t>
  </si>
  <si>
    <t>CCTV357</t>
  </si>
  <si>
    <t>UROUBA_TN2</t>
  </si>
  <si>
    <t>CCTV358</t>
  </si>
  <si>
    <t>UROUBA_TN3</t>
  </si>
  <si>
    <t>CCTV359</t>
  </si>
  <si>
    <t>نفق طريق مكة المكرمة تقاطع شارع مساعد بن جلوي</t>
  </si>
  <si>
    <t>Makka_DababPMP</t>
  </si>
  <si>
    <t>CCTV360</t>
  </si>
  <si>
    <t>Makka_Dabab_1</t>
  </si>
  <si>
    <t>CCTV361</t>
  </si>
  <si>
    <t>Makka_Dabab_2</t>
  </si>
  <si>
    <t>CCTV362</t>
  </si>
  <si>
    <t>Makka_Dabab_3</t>
  </si>
  <si>
    <t>CCTV363</t>
  </si>
  <si>
    <t>نفق بطريق مكة المكرمة بجوار وزارة الحرس الوطني</t>
  </si>
  <si>
    <t>NGuard_TN_EW</t>
  </si>
  <si>
    <t>نفق طريق الملك فهد تقاطع طريق الامام سعود بن فيصل</t>
  </si>
  <si>
    <t>Fahd_saud_TN1</t>
  </si>
  <si>
    <t>Fahd_saud_TN2</t>
  </si>
  <si>
    <t>CCTV366</t>
  </si>
  <si>
    <t>Fahd_saud_TN3</t>
  </si>
  <si>
    <t>CCTV367</t>
  </si>
  <si>
    <t>Fahd_saud_TN4</t>
  </si>
  <si>
    <t>CCTV368</t>
  </si>
  <si>
    <t xml:space="preserve">نفق طريق عثمان بن عفان قبل طريق الحسين بن علي </t>
  </si>
  <si>
    <t>U115_OTHMAN_NS</t>
  </si>
  <si>
    <t>U115_OTHMAN_SN</t>
  </si>
  <si>
    <t>CCTV370</t>
  </si>
  <si>
    <t>نفق بتقاطع طريق خالد بن الوليد مع طريق الدمام</t>
  </si>
  <si>
    <t>U116_TN_WE</t>
  </si>
  <si>
    <t>CCTV371</t>
  </si>
  <si>
    <t>U116_TN_EW</t>
  </si>
  <si>
    <t>CCTV372</t>
  </si>
  <si>
    <t>نفق طريق الملك فهد تقاطع طريق انس بن مالك</t>
  </si>
  <si>
    <t>U117_ANAS_SN</t>
  </si>
  <si>
    <t>CCTV373</t>
  </si>
  <si>
    <t>نفق تقاطع الطريق الدائري الشرقي مع طريق الملك عبدالله</t>
  </si>
  <si>
    <t>EX10_TN_NS</t>
  </si>
  <si>
    <t>CCTV374</t>
  </si>
  <si>
    <t>EX10_TN_SN</t>
  </si>
  <si>
    <t>CCTV375</t>
  </si>
  <si>
    <t>نفق طريق الملك عبدالله مع شارع مسعود الكرماني</t>
  </si>
  <si>
    <t>U124_Abdullah_WE1</t>
  </si>
  <si>
    <t>U124_Abdullah_EW</t>
  </si>
  <si>
    <t>U124_Abdullah_WE2</t>
  </si>
  <si>
    <t>CCTV378</t>
  </si>
  <si>
    <t>نفق طريق الملك عبدالله قبل شارع جرير بن عبدالله البجلي</t>
  </si>
  <si>
    <t>U125_Abdullah_EW</t>
  </si>
  <si>
    <t>CCTV379</t>
  </si>
  <si>
    <t>U125_Abdullah_WE</t>
  </si>
  <si>
    <t>CCTV380</t>
  </si>
  <si>
    <t xml:space="preserve">نفق طريق الامام سعود بن عبدالعزيز تقاطع طريق الملك عبدالعزيز </t>
  </si>
  <si>
    <t>SAUD_ABDAZIZ_EW1</t>
  </si>
  <si>
    <t>CCTV381</t>
  </si>
  <si>
    <t>SAUD_ABDAZIZ_EW2</t>
  </si>
  <si>
    <t>CCTV382</t>
  </si>
  <si>
    <t>SAUD_ABDAZIZ_WE1</t>
  </si>
  <si>
    <t>CCTV383</t>
  </si>
  <si>
    <t>SAUD_ABDAZIZ_EW3</t>
  </si>
  <si>
    <t>CCTV384</t>
  </si>
  <si>
    <t>SAUD_ABDAZIZ_WE2</t>
  </si>
  <si>
    <t>CCTV385</t>
  </si>
  <si>
    <t>نفق طريق الملك فهد تقاطع طريق مكة المكرمة</t>
  </si>
  <si>
    <t>FAHD_MAK_TN_NS</t>
  </si>
  <si>
    <t>CCTV386</t>
  </si>
  <si>
    <t>FAHD_MAK_ROOM</t>
  </si>
  <si>
    <t>CCTV387</t>
  </si>
  <si>
    <t>نفق طريق الملك فهد تقاطع طريق الملك سلمان</t>
  </si>
  <si>
    <t>Fahd_Salman_TN_N</t>
  </si>
  <si>
    <t>نفق مخرج 15  تقاطع طريق الدائري الشرقي مع طريق صلاح الدين الأيوبي</t>
  </si>
  <si>
    <t>EX15_TN_SN1</t>
  </si>
  <si>
    <t>EX15_TN_SN2</t>
  </si>
  <si>
    <t>CCTV390</t>
  </si>
  <si>
    <t>EX15_TN_SN3</t>
  </si>
  <si>
    <t>CCTV391</t>
  </si>
  <si>
    <t>EX15_TN_NS1</t>
  </si>
  <si>
    <t>CCTV392</t>
  </si>
  <si>
    <t>نفق مخرج 14  تقاطع طريق الدائري الشرقي مع طريق عمر بن عبدالعزيز</t>
  </si>
  <si>
    <t>EX14_TN_SN</t>
  </si>
  <si>
    <t>EX14_TN_NS</t>
  </si>
  <si>
    <t>CCTV394</t>
  </si>
  <si>
    <t>نفق تقاطع طريق الدائري الشرقي مع طريق المدينة المنورة (مخرج17)</t>
  </si>
  <si>
    <t>EX17_TN_SN1</t>
  </si>
  <si>
    <t>EX17_TN_SN2</t>
  </si>
  <si>
    <t>CCTV396</t>
  </si>
  <si>
    <t>EX17_TN_NS1</t>
  </si>
  <si>
    <t>CCTV397</t>
  </si>
  <si>
    <t>EX17_TN_SN3</t>
  </si>
  <si>
    <t>CCTV398</t>
  </si>
  <si>
    <t>نفق مخرج 24 طريق خريص مع طريق الشيخ عمر بن سليم</t>
  </si>
  <si>
    <t>EX24_khu_WE1</t>
  </si>
  <si>
    <t>CCTV399</t>
  </si>
  <si>
    <t>EX24_khu_WE2</t>
  </si>
  <si>
    <t>CCTV400</t>
  </si>
  <si>
    <t>EX24_khu_EW1</t>
  </si>
  <si>
    <t>CCTV401</t>
  </si>
  <si>
    <t>EX24_khu_EW2</t>
  </si>
  <si>
    <t>CCTV402</t>
  </si>
  <si>
    <t xml:space="preserve">نفق مخرج 24 طريق خريص تقاطع شارع الحسن بن علي </t>
  </si>
  <si>
    <t>EX24_khu_WE3</t>
  </si>
  <si>
    <t>EX24_khu_WE4</t>
  </si>
  <si>
    <t>CCTV404</t>
  </si>
  <si>
    <t>EX24_khu_EW3</t>
  </si>
  <si>
    <t>CCTV405</t>
  </si>
  <si>
    <t>EX24_khu_EW4</t>
  </si>
  <si>
    <t>CCTV406</t>
  </si>
  <si>
    <t xml:space="preserve">نفق مخرج 26 طريق خريص تقاطع شارع خالد بن الوليد </t>
  </si>
  <si>
    <t>EX26_khu_WE1</t>
  </si>
  <si>
    <t>CCTV407</t>
  </si>
  <si>
    <t>EX26_khu_EW1</t>
  </si>
  <si>
    <t>CCTV408</t>
  </si>
  <si>
    <t>EX26_khu_WE2</t>
  </si>
  <si>
    <t>CCTV409</t>
  </si>
  <si>
    <t>EX26_khu_EW2</t>
  </si>
  <si>
    <t>CCTV410</t>
  </si>
  <si>
    <t>نفق مخرج 28 طريق خريص  تقاطع شارع عبدالرحمن بن عوف</t>
  </si>
  <si>
    <t>EX28_khu_WE3</t>
  </si>
  <si>
    <t>EX28_khu_WE4</t>
  </si>
  <si>
    <t>CCTV412</t>
  </si>
  <si>
    <t>EX28_khu_EW1</t>
  </si>
  <si>
    <t>CCTV413</t>
  </si>
  <si>
    <t>EX28_khu_EW2</t>
  </si>
  <si>
    <t>CCTV414</t>
  </si>
  <si>
    <t>نفق مخرج 28 طريق خريص  تقاطع شارع عبد الرحمن الناصر</t>
  </si>
  <si>
    <t>EX28_khu_WE1</t>
  </si>
  <si>
    <t>CCTV415</t>
  </si>
  <si>
    <t>EX28_khu_WE2</t>
  </si>
  <si>
    <t>CCTV416</t>
  </si>
  <si>
    <t>EX28_khu_EW3</t>
  </si>
  <si>
    <t>CCTV417</t>
  </si>
  <si>
    <t>EX28_khu_EW4</t>
  </si>
  <si>
    <t>CCTV418</t>
  </si>
  <si>
    <t xml:space="preserve">نفق مخرج 30 طريق خريص تقاطع شارع سلمان الفارسي </t>
  </si>
  <si>
    <t>EX30_khu_WE3</t>
  </si>
  <si>
    <t>EX30_khu_WE2</t>
  </si>
  <si>
    <t>CCTV420</t>
  </si>
  <si>
    <t>EX30_khu_EW4</t>
  </si>
  <si>
    <t>CCTV421</t>
  </si>
  <si>
    <t>EX30_khu_WE4</t>
  </si>
  <si>
    <t>CCTV422</t>
  </si>
  <si>
    <t>نفق مخرج 30 طريق خريص تقاطع شارع حسان بن ثابت</t>
  </si>
  <si>
    <t>EX30_khu_EW1</t>
  </si>
  <si>
    <t>CCTV423</t>
  </si>
  <si>
    <t>EX30_khu_EW2</t>
  </si>
  <si>
    <t>CCTV424</t>
  </si>
  <si>
    <t>EX30_khu_EW3</t>
  </si>
  <si>
    <t>CCTV425</t>
  </si>
  <si>
    <t>EX30_khu_WE1</t>
  </si>
  <si>
    <t>CCTV426</t>
  </si>
  <si>
    <t>نفق تقاطع السكة الحديد مع امتداد الطريق الدائرى الشرقى</t>
  </si>
  <si>
    <t>Railway_TN_1</t>
  </si>
  <si>
    <t>Railway_TN_2</t>
  </si>
  <si>
    <t>CCTV428</t>
  </si>
  <si>
    <t>Railway_TN_3</t>
  </si>
  <si>
    <t>CCTV429</t>
  </si>
  <si>
    <t>Railway_TN_4</t>
  </si>
  <si>
    <t>CCTV430</t>
  </si>
  <si>
    <t xml:space="preserve">نفق أكاديمية التدريب طريق خريص </t>
  </si>
  <si>
    <t>TADREEB_U137_WE</t>
  </si>
  <si>
    <t>CCTV431</t>
  </si>
  <si>
    <t>نفق تقاطع طريق خريص مع السلطان قابوس</t>
  </si>
  <si>
    <t>U138_TN_EW</t>
  </si>
  <si>
    <t>CCTV432</t>
  </si>
  <si>
    <t>نفق الإسكان - إمتداد الطريق الدائري الشرقي مع شارع السمح بن مالك</t>
  </si>
  <si>
    <t>Iskan1_TN_NS1</t>
  </si>
  <si>
    <t>Iskan1_TN_NS2</t>
  </si>
  <si>
    <t>CCTV434</t>
  </si>
  <si>
    <t>Iskan1_TN_SN1</t>
  </si>
  <si>
    <t>CCTV435</t>
  </si>
  <si>
    <t>Iskan1_TN_SN2</t>
  </si>
  <si>
    <t>CCTV436</t>
  </si>
  <si>
    <t>نفق البحرية -  إمتداد الطريق الدائري الشرقي أمام مطاعم حديقة العائلة</t>
  </si>
  <si>
    <t>Bahriya_U140_NS2</t>
  </si>
  <si>
    <t>CCTV437</t>
  </si>
  <si>
    <t>PUMP_ROOM_U140</t>
  </si>
  <si>
    <t>CCTV438</t>
  </si>
  <si>
    <t>Bahriya_U140_NS1</t>
  </si>
  <si>
    <t>CCTV439</t>
  </si>
  <si>
    <t>Bahriya_U140_SN1</t>
  </si>
  <si>
    <t>CCTV440</t>
  </si>
  <si>
    <t>Bahriya_U140_SN2</t>
  </si>
  <si>
    <t>CCTV441</t>
  </si>
  <si>
    <t>نفق الصناعية -  إمتداد الطريق الدائري الشرقي أمام شركة توزيع الغاز الطبيعي</t>
  </si>
  <si>
    <t>INDUST_TN_NS1</t>
  </si>
  <si>
    <t>INDUST_TN_NS2</t>
  </si>
  <si>
    <t>CCTV443</t>
  </si>
  <si>
    <t>INDUST_TN_NS3</t>
  </si>
  <si>
    <t>CCTV444</t>
  </si>
  <si>
    <t>INDUST_TN_SN1</t>
  </si>
  <si>
    <t>CCTV445</t>
  </si>
  <si>
    <t xml:space="preserve">نفق  تقاطع الطريق الدائري الثاني أمام إسكان الحرس الوطني </t>
  </si>
  <si>
    <t>NGuard_TN_1</t>
  </si>
  <si>
    <t>CCTV446</t>
  </si>
  <si>
    <t>NGuard_TN_2</t>
  </si>
  <si>
    <t>CCTV447</t>
  </si>
  <si>
    <t>NGuard_TN_3</t>
  </si>
  <si>
    <t>CCTV448</t>
  </si>
  <si>
    <t>نفق تقاطع طريق صلاح الدين مع النايقة</t>
  </si>
  <si>
    <t>SALAHDIN_TN_1</t>
  </si>
  <si>
    <t>CCTV449</t>
  </si>
  <si>
    <t>SALAHDIN_PUMP_2</t>
  </si>
  <si>
    <t>CCTV450</t>
  </si>
  <si>
    <t xml:space="preserve">SALAHDIN_TN_3
</t>
  </si>
  <si>
    <t>CCTV451</t>
  </si>
  <si>
    <t>نفق مخرج 16 طريق الدائري الشرقي تقاطع طريق عمر بن الخطاب</t>
  </si>
  <si>
    <t>EXIT16_TN_1</t>
  </si>
  <si>
    <t>EXIT16_TN_2</t>
  </si>
  <si>
    <t>CCTV453</t>
  </si>
  <si>
    <t>EXIT16_TN_3</t>
  </si>
  <si>
    <t>CCTV454</t>
  </si>
  <si>
    <t>EXIT16_TN_4</t>
  </si>
  <si>
    <t>CCTV455</t>
  </si>
  <si>
    <t>Khashm3_TN_1</t>
  </si>
  <si>
    <t>CCTV456</t>
  </si>
  <si>
    <t>Khashm3_TN_2</t>
  </si>
  <si>
    <t>CCTV457</t>
  </si>
  <si>
    <t>Khashm3_TN_3</t>
  </si>
  <si>
    <t>CCTV458</t>
  </si>
  <si>
    <t>نفق  تقاطع الطريق الدائري الثاني مع شارع السلامه (خشم العان 4)</t>
  </si>
  <si>
    <t>khashm4_u149A_1</t>
  </si>
  <si>
    <t>khashm4_u149A_2</t>
  </si>
  <si>
    <t>CCTV460</t>
  </si>
  <si>
    <t>khashm4_u149A_3</t>
  </si>
  <si>
    <t>CCTV461</t>
  </si>
  <si>
    <t>نفق بترومين طريق الخرج  بعد شركة مياه بيرين  اتجاه الشمال</t>
  </si>
  <si>
    <t>Petromin_TN_1</t>
  </si>
  <si>
    <t>Petromin_TN_2</t>
  </si>
  <si>
    <t>CCTV463</t>
  </si>
  <si>
    <t>Petromin_TN_3</t>
  </si>
  <si>
    <t>CCTV464</t>
  </si>
  <si>
    <t>نفق تقاطع الطريق الدائري الثاني مع طريق أبوعبيدة بن الجراح (خشم العان2)</t>
  </si>
  <si>
    <t>Khashm2_TN_1</t>
  </si>
  <si>
    <t>CCTV465</t>
  </si>
  <si>
    <t>Khashm2_TN_2</t>
  </si>
  <si>
    <t>CCTV466</t>
  </si>
  <si>
    <t>Khashm2_TN_3</t>
  </si>
  <si>
    <t>CCTV467</t>
  </si>
  <si>
    <t>Khashm2_TN_4</t>
  </si>
  <si>
    <t>CCTV468</t>
  </si>
  <si>
    <t>تقاطع اسكان رقم 2 مع امتداد الطريق الدائرى الشرقى</t>
  </si>
  <si>
    <t>Iskan2_TN_1</t>
  </si>
  <si>
    <t>CCTV469</t>
  </si>
  <si>
    <t>Iskan2_TN_2</t>
  </si>
  <si>
    <t>CCTV470</t>
  </si>
  <si>
    <t>Iskan2_TN_3</t>
  </si>
  <si>
    <t>CCTV471</t>
  </si>
  <si>
    <t xml:space="preserve">نفق شارع ام الحمام تقاطع طريق مكة المكرمة   </t>
  </si>
  <si>
    <t>Umhamam_Mak_TN1</t>
  </si>
  <si>
    <t>Umhamam_Mak_TN2</t>
  </si>
  <si>
    <t>CCTV473</t>
  </si>
  <si>
    <t>Umhamam_Mak_TN3</t>
  </si>
  <si>
    <t>CCTV474</t>
  </si>
  <si>
    <t>Umhamam_Mak_TN4</t>
  </si>
  <si>
    <t>CCTV475</t>
  </si>
  <si>
    <t xml:space="preserve">  نفق تقاطع طريق مكة المكرمة مع شارع الديوان</t>
  </si>
  <si>
    <t>MAKKA_Diwan_TN1</t>
  </si>
  <si>
    <t>CCTV476</t>
  </si>
  <si>
    <t>MAKKA_Diwan_TN2</t>
  </si>
  <si>
    <t>CCTV477</t>
  </si>
  <si>
    <t>MAKKA_Diwan_TN3</t>
  </si>
  <si>
    <t>CCTV478</t>
  </si>
  <si>
    <t xml:space="preserve">  نفق تقاطع طريق مكة المكرمة مع طريق الأمير تركى الأول</t>
  </si>
  <si>
    <t>MAK_TURKI_WE</t>
  </si>
  <si>
    <t>CCTV479</t>
  </si>
  <si>
    <t>MAK_TURKI_EW</t>
  </si>
  <si>
    <t>CCTV480</t>
  </si>
  <si>
    <t>نفق طريق مكة المكرمة تقاطع طريق التخصصي (العزيزية - بنده)</t>
  </si>
  <si>
    <t>MAK_TAKHS_TN_EW2</t>
  </si>
  <si>
    <t>CCTV481</t>
  </si>
  <si>
    <t>MAK_TAKHS_TN_EW1</t>
  </si>
  <si>
    <t>CCTV482</t>
  </si>
  <si>
    <t>MAK_TAKHS_TN_WE</t>
  </si>
  <si>
    <t>CCTV483</t>
  </si>
  <si>
    <t>نفق طريق التخصصي تقاطع طريق الامام سعود (سباتكو)</t>
  </si>
  <si>
    <t>SAPTCO_TN_NS2</t>
  </si>
  <si>
    <t>CCTV484</t>
  </si>
  <si>
    <t>SAPTCO_TN_SN</t>
  </si>
  <si>
    <t>CCTV485</t>
  </si>
  <si>
    <t>SAPTCO_TN_NS1</t>
  </si>
  <si>
    <t>CCTV486</t>
  </si>
  <si>
    <t>نفق تقاطع طريق مكة المكرمة مع طريق الملك خالد الفرعي</t>
  </si>
  <si>
    <t>MAK_KHLD_TN_WE2</t>
  </si>
  <si>
    <t>CCTV487</t>
  </si>
  <si>
    <t>MAK_KHLD_TN_EW</t>
  </si>
  <si>
    <t>CCTV488</t>
  </si>
  <si>
    <t>MAK_KHLD_TN_WE1</t>
  </si>
  <si>
    <t>CCTV489</t>
  </si>
  <si>
    <t xml:space="preserve">  نفق على طريق العروبة بعد طريق الملك خالد (مستشفى العيون)</t>
  </si>
  <si>
    <t>Oyon_Tunnel_EW</t>
  </si>
  <si>
    <t>CCTV490</t>
  </si>
  <si>
    <t>Oyon_Tunnel_WE</t>
  </si>
  <si>
    <t>CCTV491</t>
  </si>
  <si>
    <t>نفق طريق التخصصي تقاطع طريق العروبة(اليورمارشية)</t>
  </si>
  <si>
    <t>Euromarche_TN_NS2</t>
  </si>
  <si>
    <t>Euromarche_TN_NS1</t>
  </si>
  <si>
    <t>CCTV493</t>
  </si>
  <si>
    <t>Euromarche_TN_SN</t>
  </si>
  <si>
    <t>CCTV494</t>
  </si>
  <si>
    <t>الجسر المعلق</t>
  </si>
  <si>
    <t>Jasar_pole2_S1</t>
  </si>
  <si>
    <t>Jasar_pole2_S2</t>
  </si>
  <si>
    <t>CCTV496</t>
  </si>
  <si>
    <t>Jasar_pole1_N1</t>
  </si>
  <si>
    <t>CCTV497</t>
  </si>
  <si>
    <t>Jasar_pole1_N2</t>
  </si>
  <si>
    <t>CCTV498</t>
  </si>
  <si>
    <t>جسر مشاة طريق الملك فهد أمام مركز بن رشيد الطبي</t>
  </si>
  <si>
    <t>KF1_P18_1</t>
  </si>
  <si>
    <t>KF1_P18_2</t>
  </si>
  <si>
    <t>CCTV500</t>
  </si>
  <si>
    <t>KF1_P18_3</t>
  </si>
  <si>
    <t>CCTV501</t>
  </si>
  <si>
    <t>KF1_P18_4</t>
  </si>
  <si>
    <t>CCTV502</t>
  </si>
  <si>
    <t>KF1_P18_5</t>
  </si>
  <si>
    <t>CCTV503</t>
  </si>
  <si>
    <t>KF1_P18_6</t>
  </si>
  <si>
    <t>CCTV504</t>
  </si>
  <si>
    <t>KF1_P18_7</t>
  </si>
  <si>
    <t>CCTV505</t>
  </si>
  <si>
    <t>KF1_P18_8</t>
  </si>
  <si>
    <t>CCTV506</t>
  </si>
  <si>
    <t>جسر مشاة طريق الملك فهد أمام معهد الدراسات الدبلوماسية بوزارة الخارجية</t>
  </si>
  <si>
    <t>KF2_P19_1</t>
  </si>
  <si>
    <t>CCTV507</t>
  </si>
  <si>
    <t>KF2_P19_2</t>
  </si>
  <si>
    <t>CCTV508</t>
  </si>
  <si>
    <t>KF2_P19_3</t>
  </si>
  <si>
    <t>CCTV509</t>
  </si>
  <si>
    <t>KF2_P19_4</t>
  </si>
  <si>
    <t>CCTV510</t>
  </si>
  <si>
    <t>KF2_P19_5</t>
  </si>
  <si>
    <t>CCTV511</t>
  </si>
  <si>
    <t>KF2_P19_6</t>
  </si>
  <si>
    <t>CCTV512</t>
  </si>
  <si>
    <t>KF2_P19_7</t>
  </si>
  <si>
    <t>CCTV513</t>
  </si>
  <si>
    <t>KF2_P19_8</t>
  </si>
  <si>
    <t>CCTV514</t>
  </si>
  <si>
    <t>جسر مشاة طريق الملك فهد أمام هيئة التحقيق والأداء العام</t>
  </si>
  <si>
    <t>KF3_P20_1</t>
  </si>
  <si>
    <t>CCTV515</t>
  </si>
  <si>
    <t>KF3_P20_2</t>
  </si>
  <si>
    <t>CCTV516</t>
  </si>
  <si>
    <t>KF3_P20_3</t>
  </si>
  <si>
    <t>CCTV517</t>
  </si>
  <si>
    <t>KF3_P20_4</t>
  </si>
  <si>
    <t>CCTV518</t>
  </si>
  <si>
    <t>KF3_P20_5</t>
  </si>
  <si>
    <t>CCTV519</t>
  </si>
  <si>
    <t>KF3_P20_6</t>
  </si>
  <si>
    <t>CCTV520</t>
  </si>
  <si>
    <t>نفق مشاة طريق عمر بن عبدالعزيز</t>
  </si>
  <si>
    <t>P55_OUT_W</t>
  </si>
  <si>
    <t>CCTV521</t>
  </si>
  <si>
    <t>P55_PED_WE</t>
  </si>
  <si>
    <t>CCTV522</t>
  </si>
  <si>
    <t>P55_OUT_EW</t>
  </si>
  <si>
    <t>CCTV523</t>
  </si>
  <si>
    <t>P55_OUT_E</t>
  </si>
  <si>
    <t>CCTV524</t>
  </si>
  <si>
    <t xml:space="preserve">   نفق مشاة شارع العليا</t>
  </si>
  <si>
    <t>P59_OUT_S</t>
  </si>
  <si>
    <t>CCTV525</t>
  </si>
  <si>
    <t>P59_PED_SN</t>
  </si>
  <si>
    <t>CCTV526</t>
  </si>
  <si>
    <t>P59_PED_NS</t>
  </si>
  <si>
    <t>CCTV527</t>
  </si>
  <si>
    <t>P59_OUT_N</t>
  </si>
  <si>
    <t>CCTV528</t>
  </si>
  <si>
    <t>نفق مشاة مدينة الأمير سلطان  الطبية العسكرية</t>
  </si>
  <si>
    <t>PSMC_PED_SN</t>
  </si>
  <si>
    <t>CCTV529</t>
  </si>
  <si>
    <t>PSMC_PED_NS</t>
  </si>
  <si>
    <t>CCTV530</t>
  </si>
  <si>
    <t>نفق مشاة الجوازات</t>
  </si>
  <si>
    <t>P60_PED_WE</t>
  </si>
  <si>
    <t>CCTV531</t>
  </si>
  <si>
    <t>P60_PED_EW</t>
  </si>
  <si>
    <t>CCTV532</t>
  </si>
  <si>
    <t>نفق مشاة ميدان القاهرة</t>
  </si>
  <si>
    <t>P61_PED_EW</t>
  </si>
  <si>
    <t>CCTV533</t>
  </si>
  <si>
    <t>P61_PED_WE</t>
  </si>
  <si>
    <t>CCTV534</t>
  </si>
  <si>
    <t>نفق مشاة محطة القطار</t>
  </si>
  <si>
    <t>U58_OUT_W</t>
  </si>
  <si>
    <t>CCTV535</t>
  </si>
  <si>
    <t>U58_OUT_E</t>
  </si>
  <si>
    <t>CCTV536</t>
  </si>
  <si>
    <t>U58_PED_WE</t>
  </si>
  <si>
    <t>CCTV537</t>
  </si>
  <si>
    <t>U58_PED_EW</t>
  </si>
  <si>
    <t>CCTV538</t>
  </si>
  <si>
    <t>جسر مشاة صلاح الدين</t>
  </si>
  <si>
    <t>P52_OUT_S</t>
  </si>
  <si>
    <t>CCTV539</t>
  </si>
  <si>
    <t>P52_PED_SN</t>
  </si>
  <si>
    <t>CCTV540</t>
  </si>
  <si>
    <t>P52_PED_NS</t>
  </si>
  <si>
    <t>CCTV541</t>
  </si>
  <si>
    <t>P52_OUT_N</t>
  </si>
  <si>
    <t>CCTV542</t>
  </si>
  <si>
    <t>نفق مشاة الإمام عبدالعزيز بن محمد بن سعود</t>
  </si>
  <si>
    <t>P56_OUT_N</t>
  </si>
  <si>
    <t>CCTV543</t>
  </si>
  <si>
    <t>P56_OUT_NS</t>
  </si>
  <si>
    <t>CCTV544</t>
  </si>
  <si>
    <t>P56_OUT_SN</t>
  </si>
  <si>
    <t>CCTV545</t>
  </si>
  <si>
    <t>P56_OUT_S</t>
  </si>
  <si>
    <t>CCTV546</t>
  </si>
  <si>
    <t>U7</t>
  </si>
  <si>
    <t>U10-RG</t>
  </si>
  <si>
    <t>U10-73</t>
  </si>
  <si>
    <t>U12-1</t>
  </si>
  <si>
    <t>U12-2</t>
  </si>
  <si>
    <t>U14-1</t>
  </si>
  <si>
    <t>U14-2</t>
  </si>
  <si>
    <t>U18</t>
  </si>
  <si>
    <t>U22</t>
  </si>
  <si>
    <t>U23</t>
  </si>
  <si>
    <t>U25</t>
  </si>
  <si>
    <t>U102</t>
  </si>
  <si>
    <t>U105</t>
  </si>
  <si>
    <t>U115</t>
  </si>
  <si>
    <t>U116</t>
  </si>
  <si>
    <t>U117</t>
  </si>
  <si>
    <t>U122</t>
  </si>
  <si>
    <t>U125</t>
  </si>
  <si>
    <t>U129</t>
  </si>
  <si>
    <t>U132</t>
  </si>
  <si>
    <t>U134</t>
  </si>
  <si>
    <t>U162</t>
  </si>
  <si>
    <t>U163</t>
  </si>
  <si>
    <t>P18</t>
  </si>
  <si>
    <t>P19</t>
  </si>
  <si>
    <t>P20</t>
  </si>
  <si>
    <t>P55</t>
  </si>
  <si>
    <t>P59</t>
  </si>
  <si>
    <t>P62</t>
  </si>
  <si>
    <t>P60</t>
  </si>
  <si>
    <t>P61</t>
  </si>
  <si>
    <t>P58</t>
  </si>
  <si>
    <t>P52</t>
  </si>
  <si>
    <t>P56</t>
  </si>
  <si>
    <t xml:space="preserve"> 24.840423° -  46.646732°</t>
  </si>
  <si>
    <t xml:space="preserve"> 24.828700° -  46.619397°</t>
  </si>
  <si>
    <t xml:space="preserve"> 24.832736° -  46.628369°</t>
  </si>
  <si>
    <t xml:space="preserve"> 24.837080° -  46.639405°</t>
  </si>
  <si>
    <t>24.850373° -  46.670314°</t>
  </si>
  <si>
    <t>24.806716°- 46.755410°</t>
  </si>
  <si>
    <t>24.784449, 46.635307</t>
  </si>
  <si>
    <t>24.675503, 46.690609</t>
  </si>
  <si>
    <t>24.780737° - 46.728531°</t>
  </si>
  <si>
    <t xml:space="preserve"> 24.773165° -  46.731979°</t>
  </si>
  <si>
    <t xml:space="preserve"> 24.682322° -  46.686911°</t>
  </si>
  <si>
    <t>24.789218°- 46.714521°</t>
  </si>
  <si>
    <t>24.754665°- 46.632595°</t>
  </si>
  <si>
    <t>24.674992°, 46.673013°</t>
  </si>
  <si>
    <t>24.676441°, 46.682630°</t>
  </si>
  <si>
    <t>24.798441°, 46.628227°</t>
  </si>
  <si>
    <t>24.784500°, 46.635444°</t>
  </si>
  <si>
    <t>24.804745°, 46.625249°</t>
  </si>
  <si>
    <t>24.716105 °,46.669820°</t>
  </si>
  <si>
    <t>24.764906, 46.656119</t>
  </si>
  <si>
    <t>24.740726, 46.598696</t>
  </si>
  <si>
    <t>24.675344, 46.651615</t>
  </si>
  <si>
    <t>24.675553, 46.653538</t>
  </si>
  <si>
    <t>24.682034, 46.696542</t>
  </si>
  <si>
    <t>24.684642, 46.702340</t>
  </si>
  <si>
    <t>24.647086, 46.567984</t>
  </si>
  <si>
    <t>24.497218, 46.941622</t>
  </si>
  <si>
    <t>24.817556,46.714714</t>
  </si>
  <si>
    <t xml:space="preserve"> 24.730605° -  46.753730°</t>
  </si>
  <si>
    <t xml:space="preserve"> 24.724495° -  46.756547°</t>
  </si>
  <si>
    <t>24.671426° -  46.780755°</t>
  </si>
  <si>
    <t xml:space="preserve"> 24.671610° -  46.781102°</t>
  </si>
  <si>
    <t xml:space="preserve"> 24.699550° -  46.771425°</t>
  </si>
  <si>
    <t xml:space="preserve"> 24.753758° -  46.824703°</t>
  </si>
  <si>
    <t xml:space="preserve"> 24.760372° -  46.835839°</t>
  </si>
  <si>
    <t xml:space="preserve"> 24.773150° -  46.835167°</t>
  </si>
  <si>
    <t>24.706469, 46.748997</t>
  </si>
  <si>
    <t>24.6261819, 46.7836086</t>
  </si>
  <si>
    <t>24.685004, 46.776490</t>
  </si>
  <si>
    <t>24.724050, 46.776827</t>
  </si>
  <si>
    <t>24.718325, 46.768060</t>
  </si>
  <si>
    <t>24.733016, 46.791378</t>
  </si>
  <si>
    <t>24.735456, 46.795608</t>
  </si>
  <si>
    <t>24.772567, 46.847539</t>
  </si>
  <si>
    <t>24.824553, 46.607511</t>
  </si>
  <si>
    <t>24.677193, 46.642895</t>
  </si>
  <si>
    <t>24.675820, 46.662564</t>
  </si>
  <si>
    <t>24.679229, 46.687872</t>
  </si>
  <si>
    <t>24.620331, 46.574278</t>
  </si>
  <si>
    <t>24.709790, 46.766038</t>
  </si>
  <si>
    <t>24.649746, 46.794912</t>
  </si>
  <si>
    <t>24.596286, 46.703049</t>
  </si>
  <si>
    <t>24.803989, 46.854944</t>
  </si>
  <si>
    <t>24.737906, 46.593284</t>
  </si>
  <si>
    <t>24.744458, 46.608214</t>
  </si>
  <si>
    <t>24.746285, 46.612510</t>
  </si>
  <si>
    <t>24.742768, 46.603283</t>
  </si>
  <si>
    <t>24.739607, 46.595918</t>
  </si>
  <si>
    <t>24.752175, 46.625843</t>
  </si>
  <si>
    <t>24.750279, 46.621361</t>
  </si>
  <si>
    <t>24.757082, 46.637217</t>
  </si>
  <si>
    <t>24.758055, 46.640825</t>
  </si>
  <si>
    <t>24.766152, 46.659771</t>
  </si>
  <si>
    <t>24.768023, 46.664164</t>
  </si>
  <si>
    <t>24.773737, 46.677675</t>
  </si>
  <si>
    <t>24.775587, 46.682076</t>
  </si>
  <si>
    <t xml:space="preserve">24.773812, 46.677174  </t>
  </si>
  <si>
    <t xml:space="preserve">24.771913, 46.672692  </t>
  </si>
  <si>
    <t>24.781299, 46.695605</t>
  </si>
  <si>
    <t>24.786565, 46.681804</t>
  </si>
  <si>
    <t xml:space="preserve">24.781366, 46.695141  </t>
  </si>
  <si>
    <t>24.779401, 46.690655</t>
  </si>
  <si>
    <t xml:space="preserve">24.789688, 46.715872 </t>
  </si>
  <si>
    <t xml:space="preserve">24.787778, 46.711366 </t>
  </si>
  <si>
    <t>24.840026,46.607128</t>
  </si>
  <si>
    <t>24.828666,46.619401</t>
  </si>
  <si>
    <t>24.826366, 46.614430</t>
  </si>
  <si>
    <t>24.823742, 46.607646</t>
  </si>
  <si>
    <t>24.837029,46.639371</t>
  </si>
  <si>
    <t>24.850373, 46.670314</t>
  </si>
  <si>
    <t>24.807581, 46.757192</t>
  </si>
  <si>
    <t>24.824613, 46.797518</t>
  </si>
  <si>
    <t>24.824239, 46.797848</t>
  </si>
  <si>
    <t xml:space="preserve">24.782677, 46.727480 </t>
  </si>
  <si>
    <t xml:space="preserve">24.779139, 46.728773  </t>
  </si>
  <si>
    <t xml:space="preserve">24.750844, 46.743588 </t>
  </si>
  <si>
    <t>24.735074, 46.751106</t>
  </si>
  <si>
    <t>24.736403, 46.750815</t>
  </si>
  <si>
    <t>24.704407, 46.768788</t>
  </si>
  <si>
    <t>24.714580, 46.762316</t>
  </si>
  <si>
    <t>24.7142001, 46.7628698</t>
  </si>
  <si>
    <t>24.699567, 46.771424</t>
  </si>
  <si>
    <t xml:space="preserve"> 24.753758 , 46.824703</t>
  </si>
  <si>
    <t>24.804140, 46.853825</t>
  </si>
  <si>
    <t>24.708805, 46.765935</t>
  </si>
  <si>
    <t>24.693355, 46.773648</t>
  </si>
  <si>
    <t>24.696108, 46.773232</t>
  </si>
  <si>
    <t>‪24.685004, 46.776490</t>
  </si>
  <si>
    <t>24.685945, 46.776604</t>
  </si>
  <si>
    <t xml:space="preserve">24.671478, 46.780930  </t>
  </si>
  <si>
    <t>24.671120, 46.781692</t>
  </si>
  <si>
    <t>24.648381, 46.794659</t>
  </si>
  <si>
    <t>24.645902, 46.795441</t>
  </si>
  <si>
    <t>24.609172, 46.828383</t>
  </si>
  <si>
    <t>24.626068, 46.805347</t>
  </si>
  <si>
    <t>24.628026, 46.794643</t>
  </si>
  <si>
    <t>‪24.62618, 46.783608</t>
  </si>
  <si>
    <t xml:space="preserve">24.689984, 46.714542 </t>
  </si>
  <si>
    <t xml:space="preserve">24.687711, 46.709960  </t>
  </si>
  <si>
    <t xml:space="preserve">24.685437, 46.704503  </t>
  </si>
  <si>
    <t xml:space="preserve"> 24.684690, 46.702336  </t>
  </si>
  <si>
    <t xml:space="preserve">24.681990, 46.696544 </t>
  </si>
  <si>
    <t>24.679068, 46.688919</t>
  </si>
  <si>
    <t>24.679557, 46.691127</t>
  </si>
  <si>
    <t>24.676510, 46.682608</t>
  </si>
  <si>
    <t>246751933,46.7035789</t>
  </si>
  <si>
    <t>24.6758011,46.7031662</t>
  </si>
  <si>
    <t>246.6758520,467031484</t>
  </si>
  <si>
    <t>24.6751406,46.7036094</t>
  </si>
  <si>
    <t>24.6751166,467033459</t>
  </si>
  <si>
    <t>24.670064, 46.698567</t>
  </si>
  <si>
    <t>24.670189, 46.698084</t>
  </si>
  <si>
    <t>24.670259, 46.698089</t>
  </si>
  <si>
    <t>24.669911, 46.698511</t>
  </si>
  <si>
    <t>24.660922, 46.685047</t>
  </si>
  <si>
    <t>24.660736, 46.685381</t>
  </si>
  <si>
    <t>24.660754, 46.684931</t>
  </si>
  <si>
    <t>24.661129, 46.684944</t>
  </si>
  <si>
    <t>24.661168, 46.684768</t>
  </si>
  <si>
    <t>24.660628, 46.685171</t>
  </si>
  <si>
    <t>24.661255, 46.684878</t>
  </si>
  <si>
    <t>24.656399, 46.678383</t>
  </si>
  <si>
    <t>24.656424, 46.678649</t>
  </si>
  <si>
    <t>24.656959, 46.678582</t>
  </si>
  <si>
    <t>24.656695, 46.678915</t>
  </si>
  <si>
    <t>24.656280, 46.678473</t>
  </si>
  <si>
    <t>24.6955062,46.6802001</t>
  </si>
  <si>
    <t>24.6946131,46.6806641</t>
  </si>
  <si>
    <t>24.6947313,46.6808110</t>
  </si>
  <si>
    <t>24.6932371,46.6816924</t>
  </si>
  <si>
    <t>24.6972461,46.6792781</t>
  </si>
  <si>
    <t>24.6955132,46.6803959</t>
  </si>
  <si>
    <t>24.6947404,46.6808013</t>
  </si>
  <si>
    <t>24.6956512,46.6803389</t>
  </si>
  <si>
    <t>24.6946445,46.6808475</t>
  </si>
  <si>
    <t>24.644987, 46.733654</t>
  </si>
  <si>
    <t>24.645279, 46.733208</t>
  </si>
  <si>
    <t>24.645443, 46.733417</t>
  </si>
  <si>
    <t>24.645217, 46.733228</t>
  </si>
  <si>
    <t>24.645166, 46.733276</t>
  </si>
  <si>
    <t>24.645077, 46.733295</t>
  </si>
  <si>
    <t>24.645445, 46.733142</t>
  </si>
  <si>
    <t>24.644859, 46.733432</t>
  </si>
  <si>
    <t>24.649564, 46.734175</t>
  </si>
  <si>
    <t>24.649226, 46.734000</t>
  </si>
  <si>
    <t>24.649562, 46.734000</t>
  </si>
  <si>
    <t>24.649198, 46.733962</t>
  </si>
  <si>
    <t>24.649891, 46.734047</t>
  </si>
  <si>
    <t>24.647281, 46.731440</t>
  </si>
  <si>
    <t>24.647327, 46.731576</t>
  </si>
  <si>
    <t>24.647381, 46.731465</t>
  </si>
  <si>
    <t>24.647463, 46.731372</t>
  </si>
  <si>
    <t>24.647317, 46.731348</t>
  </si>
  <si>
    <t>24.647251, 46.731547</t>
  </si>
  <si>
    <t>24.640486, 46.759851</t>
  </si>
  <si>
    <t>24.640788, 46.760264</t>
  </si>
  <si>
    <t>24.640668, 46.760351</t>
  </si>
  <si>
    <t>24.640492, 46.760128</t>
  </si>
  <si>
    <t>24.640728, 46.759772</t>
  </si>
  <si>
    <t>24.640524, 46.760139</t>
  </si>
  <si>
    <t>24.640476, 46.759711</t>
  </si>
  <si>
    <t>24.640579, 46.760380</t>
  </si>
  <si>
    <t>24.641008, 46.762177</t>
  </si>
  <si>
    <t>24.641521, 46.762464</t>
  </si>
  <si>
    <t>24.641193, 46.762423</t>
  </si>
  <si>
    <t>24.640595, 46.760335</t>
  </si>
  <si>
    <t>24.641343, 46.761890</t>
  </si>
  <si>
    <t>24.641248, 46.762614</t>
  </si>
  <si>
    <t>24.640844, 46.761789</t>
  </si>
  <si>
    <t>24.688216, 46.754268</t>
  </si>
  <si>
    <t>24.688027, 46.753724</t>
  </si>
  <si>
    <t>24.688629, 46.754840</t>
  </si>
  <si>
    <t>24.688534, 46.754384</t>
  </si>
  <si>
    <t>24.688340, 46.754307</t>
  </si>
  <si>
    <t>24.689921, 46.758780</t>
  </si>
  <si>
    <t>24.688371, 46.754837</t>
  </si>
  <si>
    <t>24.688253, 46.753699</t>
  </si>
  <si>
    <t>24.686696, 46.749848</t>
  </si>
  <si>
    <t>24.590330, 46.672734</t>
  </si>
  <si>
    <t>24.590435, 46.672665</t>
  </si>
  <si>
    <t>24.590883, 46.673103</t>
  </si>
  <si>
    <t>24.590305, 46.672459</t>
  </si>
  <si>
    <t>24.650816, 46.695410</t>
  </si>
  <si>
    <t>24.650676, 46.695629</t>
  </si>
  <si>
    <t>24.650879, 46.695603</t>
  </si>
  <si>
    <t>24.647596, 46.688828</t>
  </si>
  <si>
    <t>24.647754, 46.688621</t>
  </si>
  <si>
    <t>24.647807, 46.688880</t>
  </si>
  <si>
    <t>24.650425, 46.690379</t>
  </si>
  <si>
    <t>24.650121, 46.690224</t>
  </si>
  <si>
    <t>24.650287, 46.690121</t>
  </si>
  <si>
    <t>24.650578, 46.690227</t>
  </si>
  <si>
    <t>24.650569, 46.693841</t>
  </si>
  <si>
    <t>24.650579, 46.693542</t>
  </si>
  <si>
    <t>24.650725, 46.693180</t>
  </si>
  <si>
    <t>24.650493, 46.693146</t>
  </si>
  <si>
    <t>24.646740, 46.693226</t>
  </si>
  <si>
    <t>24.646906, 46.693273</t>
  </si>
  <si>
    <t>24.646976, 46.693300</t>
  </si>
  <si>
    <t>24.610649, 46.728615</t>
  </si>
  <si>
    <t>24.610549, 46.728334</t>
  </si>
  <si>
    <t>24.610659, 46.728764</t>
  </si>
  <si>
    <t>24.611202, 46.728022</t>
  </si>
  <si>
    <t>24.610433, 46.728257</t>
  </si>
  <si>
    <t>24.667633, 46.793337</t>
  </si>
  <si>
    <t>24.667533, 46.796880</t>
  </si>
  <si>
    <t>24.667265, 46.793028</t>
  </si>
  <si>
    <t>24.667537, 46.793379</t>
  </si>
  <si>
    <t>24.667278, 46.796522</t>
  </si>
  <si>
    <t>24.759848, 46.692203</t>
  </si>
  <si>
    <t>24.762225, 46.697203</t>
  </si>
  <si>
    <t>24.760822, 46.694383</t>
  </si>
  <si>
    <t>24.761091, 46.695090</t>
  </si>
  <si>
    <t>24.760968, 46.69428</t>
  </si>
  <si>
    <t>24.760943, 46.694743</t>
  </si>
  <si>
    <t>24.761278, 46.695050</t>
  </si>
  <si>
    <t>24.761156, 46.695124</t>
  </si>
  <si>
    <t>24.760844, 46.694129</t>
  </si>
  <si>
    <t>24.761325, 46.695132</t>
  </si>
  <si>
    <t>24.574898, 46.696034</t>
  </si>
  <si>
    <t>24.574956, 46.696082</t>
  </si>
  <si>
    <t>24.575327, 46.696168</t>
  </si>
  <si>
    <t>24.571879, 46.692523</t>
  </si>
  <si>
    <t>24.572188, 46.692458</t>
  </si>
  <si>
    <t>24.571767, 46.692310</t>
  </si>
  <si>
    <t>24.556337, 46.674550</t>
  </si>
  <si>
    <t>24.556738, 46.674784</t>
  </si>
  <si>
    <t>24.556234, 46.674704</t>
  </si>
  <si>
    <t>24.551684, 46.670438</t>
  </si>
  <si>
    <t>24.551244, 46.670440</t>
  </si>
  <si>
    <t>24.551716, 46.670566</t>
  </si>
  <si>
    <t>24.536564, 46.658367</t>
  </si>
  <si>
    <t>24.537873, 46.659014</t>
  </si>
  <si>
    <t>24.537863, 46.659187</t>
  </si>
  <si>
    <t>24.537418, 46.658667</t>
  </si>
  <si>
    <t>24.734334, 46.634667</t>
  </si>
  <si>
    <t>24.736078, 46.632795</t>
  </si>
  <si>
    <t>24.736059, 46.632588</t>
  </si>
  <si>
    <t>24.734393, 46.634769</t>
  </si>
  <si>
    <t>24.735375, 46.633519</t>
  </si>
  <si>
    <t>24.734543, 46.634600</t>
  </si>
  <si>
    <t>24.736244, 46.632552</t>
  </si>
  <si>
    <t>24.778566, 46.736466</t>
  </si>
  <si>
    <t>24.778761, 46.736694</t>
  </si>
  <si>
    <t>24.778777, 46.737008</t>
  </si>
  <si>
    <t>24.778984, 46.736970</t>
  </si>
  <si>
    <t>24.778736, 46.736391</t>
  </si>
  <si>
    <t>24.778537, 46.736404</t>
  </si>
  <si>
    <t>24.778810, 46.737053</t>
  </si>
  <si>
    <t>24.773353, 46.724131</t>
  </si>
  <si>
    <t>24.773297, 46.723983</t>
  </si>
  <si>
    <t>24.773251, 46.723426</t>
  </si>
  <si>
    <t>24.773253, 46.723685</t>
  </si>
  <si>
    <t>24.773012, 46.723286</t>
  </si>
  <si>
    <t>24.773053, 46.723422</t>
  </si>
  <si>
    <t>24.686344, 46.795764</t>
  </si>
  <si>
    <t>24.686498, 46.796510</t>
  </si>
  <si>
    <t>24.685923, 46.795287</t>
  </si>
  <si>
    <t>24.685665, 46.795458</t>
  </si>
  <si>
    <t>24.686243, 46.796641</t>
  </si>
  <si>
    <t>24.686222, 46.795879</t>
  </si>
  <si>
    <t>24.686389, 46.796760</t>
  </si>
  <si>
    <t>24.685962, 46.796059</t>
  </si>
  <si>
    <t>24.685781, 46.795201</t>
  </si>
  <si>
    <t>24.693215, 46.809979</t>
  </si>
  <si>
    <t>24.692464, 46.809121</t>
  </si>
  <si>
    <t>24.692937, 46.810092</t>
  </si>
  <si>
    <t>24.692735, 46.808973</t>
  </si>
  <si>
    <t>24.692632, 46.809710</t>
  </si>
  <si>
    <t>24.692946, 46.809471</t>
  </si>
  <si>
    <t>24.693111, 46.810273</t>
  </si>
  <si>
    <t>24.692693, 46.809659</t>
  </si>
  <si>
    <t>24.692545, 46.808858</t>
  </si>
  <si>
    <t>24.688267, 46.663201</t>
  </si>
  <si>
    <t>24.687516, 46.663684</t>
  </si>
  <si>
    <t>24.688233, 46.663054</t>
  </si>
  <si>
    <t>24.687317, 46.663596</t>
  </si>
  <si>
    <t>24.688291, 46.663003</t>
  </si>
  <si>
    <t>24.687270, 46.663652</t>
  </si>
  <si>
    <t>24.687848, 46.663369</t>
  </si>
  <si>
    <t>24.694055, 46.659417</t>
  </si>
  <si>
    <t>24.694620, 46.658891</t>
  </si>
  <si>
    <t>24.694359, 46.659098</t>
  </si>
  <si>
    <t>24.694618, 46.659079</t>
  </si>
  <si>
    <t>24.694033, 46.659248</t>
  </si>
  <si>
    <t>24.694742, 46.659033</t>
  </si>
  <si>
    <t>24.693952, 46.659291</t>
  </si>
  <si>
    <t>24.695486, 46.658457</t>
  </si>
  <si>
    <t>24.693398, 46.659687</t>
  </si>
  <si>
    <t>24.693260, 46.659988</t>
  </si>
  <si>
    <t>24.693200, 46.659836</t>
  </si>
  <si>
    <t>24.704813, 46.653971</t>
  </si>
  <si>
    <t>24.704036, 46.654189</t>
  </si>
  <si>
    <t>24.704121, 46.654315</t>
  </si>
  <si>
    <t>24.704721, 46.653822</t>
  </si>
  <si>
    <t>24.704800, 46.653790</t>
  </si>
  <si>
    <t>24.703947, 46.654203</t>
  </si>
  <si>
    <t>24.819923, 46.700036</t>
  </si>
  <si>
    <t>24.819527, 46.700261</t>
  </si>
  <si>
    <t>24.819152, 46.700811</t>
  </si>
  <si>
    <t>24.819591, 46.700386</t>
  </si>
  <si>
    <t>24.819200, 46.701165</t>
  </si>
  <si>
    <t>24.818976, 46.701593</t>
  </si>
  <si>
    <t>24.820048, 46.700008</t>
  </si>
  <si>
    <t>24.792597, 46.834709</t>
  </si>
  <si>
    <t>24.795042, 46.839517</t>
  </si>
  <si>
    <t>24.728846, 46.692503</t>
  </si>
  <si>
    <t>24.756553, 46.711252</t>
  </si>
  <si>
    <t>24.758239, 46.686377</t>
  </si>
  <si>
    <t>24.693738, 46.752474</t>
  </si>
  <si>
    <t>24.593835, 46.774956</t>
  </si>
  <si>
    <t>24.586463, 46.778711</t>
  </si>
  <si>
    <t>24.752137, 46.672735</t>
  </si>
  <si>
    <t>24.653704,46.715367</t>
  </si>
  <si>
    <t>24.653772, 46.715610</t>
  </si>
  <si>
    <t>24.653567, 46.714056</t>
  </si>
  <si>
    <t>24.653843, 46.715854</t>
  </si>
  <si>
    <t>24.654755, 46.716663</t>
  </si>
  <si>
    <t>24.656577, 46.717529</t>
  </si>
  <si>
    <t>24.655435, 46.716828</t>
  </si>
  <si>
    <t>24.656443, 46.717604</t>
  </si>
  <si>
    <t>24.654979, 46.716770</t>
  </si>
  <si>
    <t>24.656610, 46.717513</t>
  </si>
  <si>
    <t>24.744480, 46.655083</t>
  </si>
  <si>
    <t xml:space="preserve">24.7444605, 46.6555285  </t>
  </si>
  <si>
    <t>24.7444901, 46.6556093</t>
  </si>
  <si>
    <t xml:space="preserve">24.744531, 46.655755  </t>
  </si>
  <si>
    <t xml:space="preserve">24.744406, 46.655447  </t>
  </si>
  <si>
    <t>24.746030, 46.658820</t>
  </si>
  <si>
    <t>24.745772, 46.658714</t>
  </si>
  <si>
    <t>24.768618, 46.712317</t>
  </si>
  <si>
    <t>24.768833, 46.712778</t>
  </si>
  <si>
    <t>24.768432, 46.712470</t>
  </si>
  <si>
    <t>24.691928, 46.718047</t>
  </si>
  <si>
    <t>24.692927, 46.718107</t>
  </si>
  <si>
    <t>46.717992‬‏, 24.692063</t>
  </si>
  <si>
    <t>24.692823,46.718105</t>
  </si>
  <si>
    <t>24.691970, 46.717936</t>
  </si>
  <si>
    <t>24.692095, 46.718430</t>
  </si>
  <si>
    <t>24.761066, 46.647006</t>
  </si>
  <si>
    <t>24.761222,46.647389</t>
  </si>
  <si>
    <t>24.760720, 46.647150</t>
  </si>
  <si>
    <t>24.760769, 46.647447</t>
  </si>
  <si>
    <t>24.761475, 46.650784</t>
  </si>
  <si>
    <t>24.761444, 46.651056</t>
  </si>
  <si>
    <t xml:space="preserve">24.762110, 46.650532  </t>
  </si>
  <si>
    <t xml:space="preserve">24.762566, 46.650303  </t>
  </si>
  <si>
    <t>24.761159, 46.650996</t>
  </si>
  <si>
    <t>24.680266, 46.691729</t>
  </si>
  <si>
    <t>24.680310, 46.691686</t>
  </si>
  <si>
    <t>24.680219, 46.692510</t>
  </si>
  <si>
    <t>24.712597, 46.671577</t>
  </si>
  <si>
    <t>24.712779,46671464</t>
  </si>
  <si>
    <t>24.712745,46.671802</t>
  </si>
  <si>
    <t>24.683322, 46.699220</t>
  </si>
  <si>
    <t>24.683635,46.699923</t>
  </si>
  <si>
    <t>24.683180,46.699392</t>
  </si>
  <si>
    <t>24.6836587, 46.6997387</t>
  </si>
  <si>
    <t>24.710882, 46.755708</t>
  </si>
  <si>
    <t>24.793907, 46.630556</t>
  </si>
  <si>
    <t>24.793707, 46.630882</t>
  </si>
  <si>
    <t>24.794456, 46.630526</t>
  </si>
  <si>
    <t>24.794041, 46.630346</t>
  </si>
  <si>
    <t>24.780599, 46.706415</t>
  </si>
  <si>
    <t>24.780250,46.706959</t>
  </si>
  <si>
    <t>24.799826, 46.740127</t>
  </si>
  <si>
    <t>24.800260, 46.739953</t>
  </si>
  <si>
    <t>24.809785, 46.622733</t>
  </si>
  <si>
    <t>24.759514, 46.738713</t>
  </si>
  <si>
    <t>24.760133, 46.738965</t>
  </si>
  <si>
    <t>24.762105, 46.744615</t>
  </si>
  <si>
    <t>24.762305,46.744499</t>
  </si>
  <si>
    <t>24.761948,46.744300</t>
  </si>
  <si>
    <t>24.756750, 46.731453</t>
  </si>
  <si>
    <t>24.756406, 46.731344</t>
  </si>
  <si>
    <t>24.753474, 46.676412</t>
  </si>
  <si>
    <t xml:space="preserve">24.753617, 46.676758  </t>
  </si>
  <si>
    <t>24.753420 ,46.676780</t>
  </si>
  <si>
    <t>24.753512,46.676464</t>
  </si>
  <si>
    <t>24.753362, 46.676748</t>
  </si>
  <si>
    <t>24.678931, 46.688555</t>
  </si>
  <si>
    <t>24.678639, 46.687852</t>
  </si>
  <si>
    <t>24.826447, 46.614377</t>
  </si>
  <si>
    <t>24.679366, 46.777790</t>
  </si>
  <si>
    <t>24.679706, 46.777803</t>
  </si>
  <si>
    <t>24.679917, 46.777750</t>
  </si>
  <si>
    <t>24.679302, 46.777357</t>
  </si>
  <si>
    <t>24.694485, 46.773748</t>
  </si>
  <si>
    <t>24.694774, 46.773181</t>
  </si>
  <si>
    <t>24.653228, 46.792334</t>
  </si>
  <si>
    <t>24.653806, 46.792028</t>
  </si>
  <si>
    <t>24.653099, 46.791901</t>
  </si>
  <si>
    <t>24.653634, 46.792292</t>
  </si>
  <si>
    <t>24.721305, 46.772994</t>
  </si>
  <si>
    <t xml:space="preserve">24.721586, 46.773420  </t>
  </si>
  <si>
    <t xml:space="preserve">24.721842, 46.773241  </t>
  </si>
  <si>
    <t xml:space="preserve">24.721656, 46.772967  </t>
  </si>
  <si>
    <t xml:space="preserve">24.720849, 46.772209  </t>
  </si>
  <si>
    <t xml:space="preserve">24.720669, 46.771914  </t>
  </si>
  <si>
    <t xml:space="preserve">24.721078, 46.772031  </t>
  </si>
  <si>
    <t xml:space="preserve">24.720895, 46.771755  </t>
  </si>
  <si>
    <t>24.729960, 46.786780</t>
  </si>
  <si>
    <t>24.730577, 46.787266</t>
  </si>
  <si>
    <t>24.730370, 46.787364</t>
  </si>
  <si>
    <t>24.730177, 46.786583</t>
  </si>
  <si>
    <t>24.739539, 46.802320</t>
  </si>
  <si>
    <t>24.739980, 46.803041</t>
  </si>
  <si>
    <t>24.740260, 46.802941</t>
  </si>
  <si>
    <t>24.739923, 46.802402</t>
  </si>
  <si>
    <t>24.737841, 46.799502</t>
  </si>
  <si>
    <t>24.738306, 46.800278</t>
  </si>
  <si>
    <t xml:space="preserve">24.738621, 46.800114  </t>
  </si>
  <si>
    <t>24.738091, 46.799341</t>
  </si>
  <si>
    <t>24.750675, 46.820261</t>
  </si>
  <si>
    <t>24.750471, 46.819795</t>
  </si>
  <si>
    <t>24.750512, 46.819314</t>
  </si>
  <si>
    <t>24.750956, 46.820623</t>
  </si>
  <si>
    <t>24.751195, 46.820438</t>
  </si>
  <si>
    <t>24.751015, 46.820111</t>
  </si>
  <si>
    <t>24.750717, 46.819612</t>
  </si>
  <si>
    <t>24.750282, 46.819495</t>
  </si>
  <si>
    <t>24.592289, 46.848834</t>
  </si>
  <si>
    <t>24.777366, 46.850730</t>
  </si>
  <si>
    <t>24.787266, 46.857981</t>
  </si>
  <si>
    <t>24.589051, 46.855795</t>
  </si>
  <si>
    <t>24.588966, 46.856085</t>
  </si>
  <si>
    <t>24.589197, 46.856151</t>
  </si>
  <si>
    <t>24.589281, 46.855867</t>
  </si>
  <si>
    <t>24.572164, 46.884185</t>
  </si>
  <si>
    <t>24.571968, 46.884252</t>
  </si>
  <si>
    <t>24.572338, 46.883932</t>
  </si>
  <si>
    <t>24.572394, 46.884314</t>
  </si>
  <si>
    <t>24.572547, 46.884069</t>
  </si>
  <si>
    <t>24.564537, 46.896057</t>
  </si>
  <si>
    <t>24.564444, 46.896197</t>
  </si>
  <si>
    <t>24.564361, 46.896340</t>
  </si>
  <si>
    <t>24.564615, 46.896466</t>
  </si>
  <si>
    <t>24.678051, 46.857021</t>
  </si>
  <si>
    <t>46.857287‬‏, 24.677779</t>
  </si>
  <si>
    <t>24.678624, 46.856681</t>
  </si>
  <si>
    <t>24.678066, 46.772648</t>
  </si>
  <si>
    <t>24.678111, 46.773250</t>
  </si>
  <si>
    <t>24.677944, 46.772667</t>
  </si>
  <si>
    <t>24.666791, 46.784996</t>
  </si>
  <si>
    <t>24.667172, 46.784625</t>
  </si>
  <si>
    <t>24.666615, 46.784481</t>
  </si>
  <si>
    <t>24.666840, 46.784394</t>
  </si>
  <si>
    <t>24.7495041  ,46.8510571</t>
  </si>
  <si>
    <t>24.7490154  ,24.8514216</t>
  </si>
  <si>
    <t>24.7495823, 46.8514886</t>
  </si>
  <si>
    <t>46.855436‬‏, 24.743596</t>
  </si>
  <si>
    <t>46.855731‬‏, 24.743163</t>
  </si>
  <si>
    <t>24.743789, 46.855839</t>
  </si>
  <si>
    <t>24.540857,46.877738</t>
  </si>
  <si>
    <t>24.540553,46.878230</t>
  </si>
  <si>
    <t>24.5407045, 46.8775668</t>
  </si>
  <si>
    <t>24.6916830,46.8561393</t>
  </si>
  <si>
    <t>24.691528,46.856423</t>
  </si>
  <si>
    <t>24.6909071,46.8563696</t>
  </si>
  <si>
    <t>24.6909698,46.8567153</t>
  </si>
  <si>
    <t>24.5859507, 46.8688405</t>
  </si>
  <si>
    <t>24.5859544, 46.8692881</t>
  </si>
  <si>
    <t>24.359481, 46.52776</t>
  </si>
  <si>
    <t>24.675098, 46.656791</t>
  </si>
  <si>
    <t>24.674889, 46.656667</t>
  </si>
  <si>
    <t>24.674253, 46.657262</t>
  </si>
  <si>
    <t>24.674645, 46.656978</t>
  </si>
  <si>
    <t>46.646739‬‏, 24.676231</t>
  </si>
  <si>
    <t xml:space="preserve"> 24.676664,46.645963</t>
  </si>
  <si>
    <t>24.676181, 46.646095</t>
  </si>
  <si>
    <t>24.674860, 46.669192</t>
  </si>
  <si>
    <t>24.675062, 46.668630</t>
  </si>
  <si>
    <t>24.675513, 46.677770</t>
  </si>
  <si>
    <t>24.675566, 46.678549</t>
  </si>
  <si>
    <t xml:space="preserve">24.675242, 46.677805  </t>
  </si>
  <si>
    <t>24.740012, 46.645672</t>
  </si>
  <si>
    <t>24.740220, 46.645785</t>
  </si>
  <si>
    <t>24.740513, 46.645387</t>
  </si>
  <si>
    <t>24.675319, 46.653369</t>
  </si>
  <si>
    <t>24.675729, 46.652673</t>
  </si>
  <si>
    <t>24.675349, 46.651944</t>
  </si>
  <si>
    <t>24.696328, 46.634785</t>
  </si>
  <si>
    <t>24.696200, 46.634898</t>
  </si>
  <si>
    <t>24.708204, 46.663535</t>
  </si>
  <si>
    <t>24.708693, 46.663324</t>
  </si>
  <si>
    <t>24.707977, 46.663884</t>
  </si>
  <si>
    <t>24.614449, 46.583522</t>
  </si>
  <si>
    <t>24.614458, 46.583513</t>
  </si>
  <si>
    <t>24.617845, 46.581926</t>
  </si>
  <si>
    <t>24.617790, 46.581960</t>
  </si>
  <si>
    <t>24.683707, 46.685863</t>
  </si>
  <si>
    <t>24.683888, 46.686247</t>
  </si>
  <si>
    <t>24.684000, 46.686503</t>
  </si>
  <si>
    <t>24.683739, 46.685925</t>
  </si>
  <si>
    <t>24.683728, 46.685916</t>
  </si>
  <si>
    <t>24.683984, 46.686469</t>
  </si>
  <si>
    <t>24.683977, 46.686451</t>
  </si>
  <si>
    <t>24.700198, 46.678346</t>
  </si>
  <si>
    <t>24.700051, 46.678004</t>
  </si>
  <si>
    <t>24.699965, 46.677758</t>
  </si>
  <si>
    <t>24.700173, 46.678287</t>
  </si>
  <si>
    <t>24.699974, 46.677807</t>
  </si>
  <si>
    <t>24.707669, 46.674571</t>
  </si>
  <si>
    <t>24.707431, 46.673981</t>
  </si>
  <si>
    <t>24.707565, 46.674288</t>
  </si>
  <si>
    <t>24.707649, 46.674497</t>
  </si>
  <si>
    <t>24.707434, 46.673984</t>
  </si>
  <si>
    <t>24.691222, 46.762172</t>
  </si>
  <si>
    <t>24.690876, 46.762377</t>
  </si>
  <si>
    <t>24.691069, 46.762201</t>
  </si>
  <si>
    <t>24.690730, 46.762381</t>
  </si>
  <si>
    <t>24.682108,46.695688</t>
  </si>
  <si>
    <t>24.681970,46.695988</t>
  </si>
  <si>
    <t>24.681717,46.695873</t>
  </si>
  <si>
    <t>24.681484,46.696041</t>
  </si>
  <si>
    <t>24.692125, 46.717036</t>
  </si>
  <si>
    <t>24.691798, 46.716894</t>
  </si>
  <si>
    <t>24.659196, 46.701026</t>
  </si>
  <si>
    <t>24.659193, 46.700919</t>
  </si>
  <si>
    <t>24.674169, 46.691205</t>
  </si>
  <si>
    <t>24.674076, 46.691060</t>
  </si>
  <si>
    <t>24.650556, 46.735111</t>
  </si>
  <si>
    <t>24.650546, 46.735358</t>
  </si>
  <si>
    <t>24.650312, 46.735257</t>
  </si>
  <si>
    <t>24.650187, 46.735419</t>
  </si>
  <si>
    <t>24.678950, 46.776591</t>
  </si>
  <si>
    <t>24.679118, 46.776491</t>
  </si>
  <si>
    <t>24.679294, 46.776457</t>
  </si>
  <si>
    <t>24.679490, 46.776371</t>
  </si>
  <si>
    <t>24.635083, 46.692444</t>
  </si>
  <si>
    <t>24.635093, 46.692561</t>
  </si>
  <si>
    <t>24.635130, 46.692633</t>
  </si>
  <si>
    <t>24.635132, 46.692763</t>
  </si>
  <si>
    <t>UC101</t>
  </si>
  <si>
    <t>الإتجاهات</t>
  </si>
  <si>
    <t>الرقم التسلسلي</t>
  </si>
  <si>
    <t>رقم النفق\الجسر</t>
  </si>
  <si>
    <t>U6_21-pUmp</t>
  </si>
  <si>
    <t>U6-31-pUmp</t>
  </si>
  <si>
    <t>U6-41-ns2</t>
  </si>
  <si>
    <t>U6-41-pUmp</t>
  </si>
  <si>
    <t>U6-41-room</t>
  </si>
  <si>
    <t>U6-41-ns-1</t>
  </si>
  <si>
    <t>U6-41-ns-3</t>
  </si>
  <si>
    <t>U7-1-we2</t>
  </si>
  <si>
    <t>U7-1-ew1</t>
  </si>
  <si>
    <t>U7-1-room</t>
  </si>
  <si>
    <t>U7-1-pUmp</t>
  </si>
  <si>
    <t>U7-1-ew2</t>
  </si>
  <si>
    <t>U7-1-we3</t>
  </si>
  <si>
    <t>U7-1-we1</t>
  </si>
  <si>
    <t>U7-1-we4</t>
  </si>
  <si>
    <t>U7-1-room2</t>
  </si>
  <si>
    <t>U7-2-we-2</t>
  </si>
  <si>
    <t>U7-2-ew1</t>
  </si>
  <si>
    <t>U7-2-we-3</t>
  </si>
  <si>
    <t>U7-2-pUmp</t>
  </si>
  <si>
    <t>U7-2-room</t>
  </si>
  <si>
    <t>U7-2-ew2</t>
  </si>
  <si>
    <t>U7-2-we4</t>
  </si>
  <si>
    <t>U7-2-we1</t>
  </si>
  <si>
    <t>U8-we-2</t>
  </si>
  <si>
    <t>U8-we-1</t>
  </si>
  <si>
    <t>U8-ew1</t>
  </si>
  <si>
    <t>U8-ew2</t>
  </si>
  <si>
    <t>U8-room1</t>
  </si>
  <si>
    <t>U8-west-gate</t>
  </si>
  <si>
    <t>U8-room2</t>
  </si>
  <si>
    <t>U8-we-3</t>
  </si>
  <si>
    <t>U8-ew3</t>
  </si>
  <si>
    <t>U8-east-gate</t>
  </si>
  <si>
    <t>U9-ew-2</t>
  </si>
  <si>
    <t>U9-we-1</t>
  </si>
  <si>
    <t>U9-room</t>
  </si>
  <si>
    <t>U9-ew-1</t>
  </si>
  <si>
    <t>U9-ew-3</t>
  </si>
  <si>
    <t>U10-rg-room</t>
  </si>
  <si>
    <t>U10-rg-we</t>
  </si>
  <si>
    <t>U10-rg-ew-2</t>
  </si>
  <si>
    <t>U10-rg-ew-1</t>
  </si>
  <si>
    <t>U10-rg-ew-3</t>
  </si>
  <si>
    <t>U10-22-we2</t>
  </si>
  <si>
    <t>U10-22-ew2</t>
  </si>
  <si>
    <t>U10-22-pUmp</t>
  </si>
  <si>
    <t>U10-22-ew3</t>
  </si>
  <si>
    <t>U10-22-ew1</t>
  </si>
  <si>
    <t>U10-22-ew4</t>
  </si>
  <si>
    <t>U10-22-we1</t>
  </si>
  <si>
    <t>U10-32-ew2</t>
  </si>
  <si>
    <t>U10-32-we</t>
  </si>
  <si>
    <t>U10-32-room</t>
  </si>
  <si>
    <t>U10-32-ew1</t>
  </si>
  <si>
    <t>U10-32-ew3</t>
  </si>
  <si>
    <t>U10-52ew2</t>
  </si>
  <si>
    <t>U10-52ew1</t>
  </si>
  <si>
    <t>U10-52-pUmp</t>
  </si>
  <si>
    <t>U10-52-room</t>
  </si>
  <si>
    <t>U10-52-we</t>
  </si>
  <si>
    <t>U10-52-we3</t>
  </si>
  <si>
    <t>U10-72-sn2</t>
  </si>
  <si>
    <t>U10-72-room</t>
  </si>
  <si>
    <t>U10-72-sn4</t>
  </si>
  <si>
    <t>U10-72-sn1</t>
  </si>
  <si>
    <t>U10-72-sn3</t>
  </si>
  <si>
    <t>U11-1-pUmp</t>
  </si>
  <si>
    <t>U11-2-pUmp</t>
  </si>
  <si>
    <t>U16-pUmp</t>
  </si>
  <si>
    <t>NGUard_TN_EW</t>
  </si>
  <si>
    <t>Fahd_saUd_TN1</t>
  </si>
  <si>
    <t>Fahd_saUd_TN2</t>
  </si>
  <si>
    <t>Fahd_saUd_TN3</t>
  </si>
  <si>
    <t>Fahd_saUd_TN4</t>
  </si>
  <si>
    <t>U124_AbdUllah_WE1</t>
  </si>
  <si>
    <t>U124_AbdUllah_EW</t>
  </si>
  <si>
    <t>U124_AbdUllah_WE2</t>
  </si>
  <si>
    <t>U125_AbdUllah_EW</t>
  </si>
  <si>
    <t>U125_AbdUllah_WE</t>
  </si>
  <si>
    <t>EX24_khU_WE1</t>
  </si>
  <si>
    <t>EX24_khU_WE2</t>
  </si>
  <si>
    <t>EX24_khU_EW1</t>
  </si>
  <si>
    <t>EX24_khU_EW2</t>
  </si>
  <si>
    <t>EX24_khU_WE3</t>
  </si>
  <si>
    <t>EX24_khU_WE4</t>
  </si>
  <si>
    <t>EX24_khU_EW3</t>
  </si>
  <si>
    <t>EX24_khU_EW4</t>
  </si>
  <si>
    <t>EX26_khU_WE1</t>
  </si>
  <si>
    <t>EX26_khU_EW1</t>
  </si>
  <si>
    <t>EX26_khU_WE2</t>
  </si>
  <si>
    <t>EX26_khU_EW2</t>
  </si>
  <si>
    <t>EX28_khU_WE3</t>
  </si>
  <si>
    <t>EX28_khU_WE4</t>
  </si>
  <si>
    <t>EX28_khU_EW1</t>
  </si>
  <si>
    <t>EX28_khU_EW2</t>
  </si>
  <si>
    <t>EX28_khU_WE1</t>
  </si>
  <si>
    <t>EX28_khU_WE2</t>
  </si>
  <si>
    <t>EX28_khU_EW3</t>
  </si>
  <si>
    <t>EX28_khU_EW4</t>
  </si>
  <si>
    <t>EX30_khU_WE3</t>
  </si>
  <si>
    <t>EX30_khU_WE2</t>
  </si>
  <si>
    <t>EX30_khU_EW4</t>
  </si>
  <si>
    <t>EX30_khU_WE4</t>
  </si>
  <si>
    <t>EX30_khU_EW1</t>
  </si>
  <si>
    <t>EX30_khU_EW2</t>
  </si>
  <si>
    <t>EX30_khU_EW3</t>
  </si>
  <si>
    <t>EX30_khU_WE1</t>
  </si>
  <si>
    <t>NGUard_TN_1</t>
  </si>
  <si>
    <t>NGUard_TN_2</t>
  </si>
  <si>
    <t>NGUard_TN_3</t>
  </si>
  <si>
    <t>khashm4_U149A_1</t>
  </si>
  <si>
    <t>khashm4_U149A_2</t>
  </si>
  <si>
    <t>khashm4_U149A_3</t>
  </si>
  <si>
    <t>Oyon_TUnnel_EW</t>
  </si>
  <si>
    <t>Oyon_TUnnel_WE</t>
  </si>
  <si>
    <t>EUromarche_TN_NS2</t>
  </si>
  <si>
    <t>EUromarche_TN_NS1</t>
  </si>
  <si>
    <t>EUromarche_TN_SN</t>
  </si>
  <si>
    <t>U10-32-pump</t>
  </si>
  <si>
    <t>U10-72-pump</t>
  </si>
  <si>
    <t>46.717992‬</t>
  </si>
  <si>
    <t>46.857287‬</t>
  </si>
  <si>
    <t>46.855436‬</t>
  </si>
  <si>
    <t>46.855731‬</t>
  </si>
  <si>
    <t>46.646739‬</t>
  </si>
  <si>
    <t>24.737906 46.593284</t>
  </si>
  <si>
    <t>24.744458 46.608214</t>
  </si>
  <si>
    <t>24.746285 46.612510</t>
  </si>
  <si>
    <t>24.742768 46.603283</t>
  </si>
  <si>
    <t>24.739607 46.595918</t>
  </si>
  <si>
    <t>24.752175 46.625843</t>
  </si>
  <si>
    <t>24.750279 46.621361</t>
  </si>
  <si>
    <t>24.757082 46.637217</t>
  </si>
  <si>
    <t>24.758055 46.640825</t>
  </si>
  <si>
    <t>24.764906 46.656119</t>
  </si>
  <si>
    <t>24.766152 46.659771</t>
  </si>
  <si>
    <t>24.768023 46.664164</t>
  </si>
  <si>
    <t>24.773737 46.677675</t>
  </si>
  <si>
    <t>24.775587 46.682076</t>
  </si>
  <si>
    <t xml:space="preserve">24.773812 46.677174  </t>
  </si>
  <si>
    <t xml:space="preserve">24.771913 46.672692  </t>
  </si>
  <si>
    <t>24.781299 46.695605</t>
  </si>
  <si>
    <t>24.786565 46.681804</t>
  </si>
  <si>
    <t xml:space="preserve">24.781366 46.695141  </t>
  </si>
  <si>
    <t>24.779401 46.690655</t>
  </si>
  <si>
    <t xml:space="preserve">24.789688 46.715872 </t>
  </si>
  <si>
    <t xml:space="preserve">24.787778 46.711366 </t>
  </si>
  <si>
    <t>24.84002646.607128</t>
  </si>
  <si>
    <t>24.82866646.619401</t>
  </si>
  <si>
    <t>24.826366 46.614430</t>
  </si>
  <si>
    <t>24.823742 46.607646</t>
  </si>
  <si>
    <t>24.83702946.639371</t>
  </si>
  <si>
    <t>24.850373 46.670314</t>
  </si>
  <si>
    <t>24.807581 46.757192</t>
  </si>
  <si>
    <t>24.824613 46.797518</t>
  </si>
  <si>
    <t>24.824239 46.797848</t>
  </si>
  <si>
    <t xml:space="preserve">24.782677 46.727480 </t>
  </si>
  <si>
    <t xml:space="preserve">24.779139 46.728773  </t>
  </si>
  <si>
    <t xml:space="preserve">24.750844 46.743588 </t>
  </si>
  <si>
    <t>24.735074 46.751106</t>
  </si>
  <si>
    <t>24.736403 46.750815</t>
  </si>
  <si>
    <t>24.704407 46.768788</t>
  </si>
  <si>
    <t>24.714580 46.762316</t>
  </si>
  <si>
    <t>24.7142001 46.7628698</t>
  </si>
  <si>
    <t>24.699567 46.771424</t>
  </si>
  <si>
    <t>24.718325 46.768060</t>
  </si>
  <si>
    <t>24.724050 46.776827</t>
  </si>
  <si>
    <t>24.735456 46.795608</t>
  </si>
  <si>
    <t xml:space="preserve"> 24.753758  46.824703</t>
  </si>
  <si>
    <t>24.772567 46.847539</t>
  </si>
  <si>
    <t>24.804140 46.853825</t>
  </si>
  <si>
    <t>24.708805 46.765935</t>
  </si>
  <si>
    <t>24.693355 46.773648</t>
  </si>
  <si>
    <t>24.696108 46.773232</t>
  </si>
  <si>
    <t>‪24.685004 46.776490</t>
  </si>
  <si>
    <t>24.685945 46.776604</t>
  </si>
  <si>
    <t xml:space="preserve">24.671478 46.780930  </t>
  </si>
  <si>
    <t>24.671120 46.781692</t>
  </si>
  <si>
    <t>24.648381 46.794659</t>
  </si>
  <si>
    <t>24.645902 46.795441</t>
  </si>
  <si>
    <t>24.609172 46.828383</t>
  </si>
  <si>
    <t>24.626068 46.805347</t>
  </si>
  <si>
    <t>24.628026 46.794643</t>
  </si>
  <si>
    <t>‪24.62618 46.783608</t>
  </si>
  <si>
    <t>‪24.62618</t>
  </si>
  <si>
    <t>24.706469 46.748997</t>
  </si>
  <si>
    <t xml:space="preserve">24.689984 46.714542 </t>
  </si>
  <si>
    <t xml:space="preserve">24.687711 46.709960  </t>
  </si>
  <si>
    <t xml:space="preserve">24.685437 46.704503  </t>
  </si>
  <si>
    <t xml:space="preserve"> 24.684690 46.702336  </t>
  </si>
  <si>
    <t xml:space="preserve">24.681990 46.696544 </t>
  </si>
  <si>
    <t>24.679068 46.688919</t>
  </si>
  <si>
    <t>24.679557 46.691127</t>
  </si>
  <si>
    <t>24.676510 46.682608</t>
  </si>
  <si>
    <t>24.675801146.7031662</t>
  </si>
  <si>
    <t>24.675140646.7036094</t>
  </si>
  <si>
    <t>24.670064 46.698567</t>
  </si>
  <si>
    <t>24.670189 46.698084</t>
  </si>
  <si>
    <t>24.670259 46.698089</t>
  </si>
  <si>
    <t>24.669911 46.698511</t>
  </si>
  <si>
    <t>24.660922 46.685047</t>
  </si>
  <si>
    <t>24.660736 46.685381</t>
  </si>
  <si>
    <t>24.660754 46.684931</t>
  </si>
  <si>
    <t>24.661129 46.684944</t>
  </si>
  <si>
    <t>24.661168 46.684768</t>
  </si>
  <si>
    <t>24.660628 46.685171</t>
  </si>
  <si>
    <t>24.661255 46.684878</t>
  </si>
  <si>
    <t>24.656399 46.678383</t>
  </si>
  <si>
    <t>24.656424 46.678649</t>
  </si>
  <si>
    <t>24.656959 46.678582</t>
  </si>
  <si>
    <t>24.656695 46.678915</t>
  </si>
  <si>
    <t>24.656280 46.678473</t>
  </si>
  <si>
    <t>24.695506246.6802001</t>
  </si>
  <si>
    <t>24.694613146.6806641</t>
  </si>
  <si>
    <t>24.694731346.6808110</t>
  </si>
  <si>
    <t>24.693237146.6816924</t>
  </si>
  <si>
    <t>24.697246146.6792781</t>
  </si>
  <si>
    <t>24.695513246.6803959</t>
  </si>
  <si>
    <t>24.694740446.6808013</t>
  </si>
  <si>
    <t>24.695651246.6803389</t>
  </si>
  <si>
    <t>24.694644546.6808475</t>
  </si>
  <si>
    <t>24.644987 46.733654</t>
  </si>
  <si>
    <t>24.645279 46.733208</t>
  </si>
  <si>
    <t>24.645443 46.733417</t>
  </si>
  <si>
    <t>24.645217 46.733228</t>
  </si>
  <si>
    <t>24.645166 46.733276</t>
  </si>
  <si>
    <t>24.645077 46.733295</t>
  </si>
  <si>
    <t>24.645445 46.733142</t>
  </si>
  <si>
    <t>24.644859 46.733432</t>
  </si>
  <si>
    <t>24.649564 46.734175</t>
  </si>
  <si>
    <t>24.649226 46.734000</t>
  </si>
  <si>
    <t>24.649562 46.734000</t>
  </si>
  <si>
    <t>24.649198 46.733962</t>
  </si>
  <si>
    <t>24.649891 46.734047</t>
  </si>
  <si>
    <t>24.647281 46.731440</t>
  </si>
  <si>
    <t>24.647327 46.731576</t>
  </si>
  <si>
    <t>24.647381 46.731465</t>
  </si>
  <si>
    <t>24.647463 46.731372</t>
  </si>
  <si>
    <t>24.647317 46.731348</t>
  </si>
  <si>
    <t>24.647251 46.731547</t>
  </si>
  <si>
    <t>24.640486 46.759851</t>
  </si>
  <si>
    <t>24.640788 46.760264</t>
  </si>
  <si>
    <t>24.640668 46.760351</t>
  </si>
  <si>
    <t>24.640492 46.760128</t>
  </si>
  <si>
    <t>24.640728 46.759772</t>
  </si>
  <si>
    <t>24.640524 46.760139</t>
  </si>
  <si>
    <t>24.640476 46.759711</t>
  </si>
  <si>
    <t>24.640579 46.760380</t>
  </si>
  <si>
    <t>24.641008 46.762177</t>
  </si>
  <si>
    <t>24.641521 46.762464</t>
  </si>
  <si>
    <t>24.641193 46.762423</t>
  </si>
  <si>
    <t>24.640595 46.760335</t>
  </si>
  <si>
    <t>24.641343 46.761890</t>
  </si>
  <si>
    <t>24.641248 46.762614</t>
  </si>
  <si>
    <t>24.640844 46.761789</t>
  </si>
  <si>
    <t>24.688216 46.754268</t>
  </si>
  <si>
    <t>24.688027 46.753724</t>
  </si>
  <si>
    <t>24.688629 46.754840</t>
  </si>
  <si>
    <t>24.688534 46.754384</t>
  </si>
  <si>
    <t>24.688340 46.754307</t>
  </si>
  <si>
    <t>24.689921 46.758780</t>
  </si>
  <si>
    <t>24.688371 46.754837</t>
  </si>
  <si>
    <t>24.688253 46.753699</t>
  </si>
  <si>
    <t>24.686696 46.749848</t>
  </si>
  <si>
    <t>24.590330 46.672734</t>
  </si>
  <si>
    <t>24.590435 46.672665</t>
  </si>
  <si>
    <t>24.590883 46.673103</t>
  </si>
  <si>
    <t>24.590305 46.672459</t>
  </si>
  <si>
    <t>24.650816 46.695410</t>
  </si>
  <si>
    <t>24.650676 46.695629</t>
  </si>
  <si>
    <t>24.650879 46.695603</t>
  </si>
  <si>
    <t>24.647596 46.688828</t>
  </si>
  <si>
    <t>24.647754 46.688621</t>
  </si>
  <si>
    <t>24.647807 46.688880</t>
  </si>
  <si>
    <t>24.650425 46.690379</t>
  </si>
  <si>
    <t>24.650121 46.690224</t>
  </si>
  <si>
    <t>24.650287 46.690121</t>
  </si>
  <si>
    <t>24.650578 46.690227</t>
  </si>
  <si>
    <t>24.650569 46.693841</t>
  </si>
  <si>
    <t>24.650579 46.693542</t>
  </si>
  <si>
    <t>24.650725 46.693180</t>
  </si>
  <si>
    <t>24.650493 46.693146</t>
  </si>
  <si>
    <t>24.646740 46.693226</t>
  </si>
  <si>
    <t>24.646906 46.693273</t>
  </si>
  <si>
    <t>24.646976 46.693300</t>
  </si>
  <si>
    <t>24.610649 46.728615</t>
  </si>
  <si>
    <t>24.610549 46.728334</t>
  </si>
  <si>
    <t>24.610659 46.728764</t>
  </si>
  <si>
    <t>24.611202 46.728022</t>
  </si>
  <si>
    <t>24.610433 46.728257</t>
  </si>
  <si>
    <t>24.667633 46.793337</t>
  </si>
  <si>
    <t>24.667533 46.796880</t>
  </si>
  <si>
    <t>24.667265 46.793028</t>
  </si>
  <si>
    <t>24.667537 46.793379</t>
  </si>
  <si>
    <t>24.667278 46.796522</t>
  </si>
  <si>
    <t>24.759848 46.692203</t>
  </si>
  <si>
    <t>24.762225 46.697203</t>
  </si>
  <si>
    <t>24.760822 46.694383</t>
  </si>
  <si>
    <t>24.761091 46.695090</t>
  </si>
  <si>
    <t>24.760968 46.69428</t>
  </si>
  <si>
    <t>24.760943 46.694743</t>
  </si>
  <si>
    <t>24.761278 46.695050</t>
  </si>
  <si>
    <t>24.761156 46.695124</t>
  </si>
  <si>
    <t>24.760844 46.694129</t>
  </si>
  <si>
    <t>24.761325 46.695132</t>
  </si>
  <si>
    <t>24.574898 46.696034</t>
  </si>
  <si>
    <t>24.574956 46.696082</t>
  </si>
  <si>
    <t>24.575327 46.696168</t>
  </si>
  <si>
    <t>24.571879 46.692523</t>
  </si>
  <si>
    <t>24.572188 46.692458</t>
  </si>
  <si>
    <t>24.571767 46.692310</t>
  </si>
  <si>
    <t>24.556337 46.674550</t>
  </si>
  <si>
    <t>24.556738 46.674784</t>
  </si>
  <si>
    <t>24.556234 46.674704</t>
  </si>
  <si>
    <t>24.551684 46.670438</t>
  </si>
  <si>
    <t>24.551244 46.670440</t>
  </si>
  <si>
    <t>24.551716 46.670566</t>
  </si>
  <si>
    <t>24.536564 46.658367</t>
  </si>
  <si>
    <t>24.537873 46.659014</t>
  </si>
  <si>
    <t>24.537863 46.659187</t>
  </si>
  <si>
    <t>24.537418 46.658667</t>
  </si>
  <si>
    <t>24.734334 46.634667</t>
  </si>
  <si>
    <t>24.736078 46.632795</t>
  </si>
  <si>
    <t>24.736059 46.632588</t>
  </si>
  <si>
    <t>24.734393 46.634769</t>
  </si>
  <si>
    <t>24.735375 46.633519</t>
  </si>
  <si>
    <t>24.734543 46.634600</t>
  </si>
  <si>
    <t>24.736244 46.632552</t>
  </si>
  <si>
    <t>24.778566 46.736466</t>
  </si>
  <si>
    <t>24.778761 46.736694</t>
  </si>
  <si>
    <t>24.778777 46.737008</t>
  </si>
  <si>
    <t>24.778984 46.736970</t>
  </si>
  <si>
    <t>24.778736 46.736391</t>
  </si>
  <si>
    <t>24.778537 46.736404</t>
  </si>
  <si>
    <t>24.778810 46.737053</t>
  </si>
  <si>
    <t>24.773353 46.724131</t>
  </si>
  <si>
    <t>24.773297 46.723983</t>
  </si>
  <si>
    <t>24.773251 46.723426</t>
  </si>
  <si>
    <t>24.773253 46.723685</t>
  </si>
  <si>
    <t>24.773012 46.723286</t>
  </si>
  <si>
    <t>24.773053 46.723422</t>
  </si>
  <si>
    <t>24.686344 46.795764</t>
  </si>
  <si>
    <t>24.686498 46.796510</t>
  </si>
  <si>
    <t>24.685923 46.795287</t>
  </si>
  <si>
    <t>24.685665 46.795458</t>
  </si>
  <si>
    <t>24.686243 46.796641</t>
  </si>
  <si>
    <t>24.686222 46.795879</t>
  </si>
  <si>
    <t>24.686389 46.796760</t>
  </si>
  <si>
    <t>24.685962 46.796059</t>
  </si>
  <si>
    <t>24.685781 46.795201</t>
  </si>
  <si>
    <t>24.693215 46.809979</t>
  </si>
  <si>
    <t>24.692464 46.809121</t>
  </si>
  <si>
    <t>24.692937 46.810092</t>
  </si>
  <si>
    <t>24.692735 46.808973</t>
  </si>
  <si>
    <t>24.692632 46.809710</t>
  </si>
  <si>
    <t>24.692946 46.809471</t>
  </si>
  <si>
    <t>24.693111 46.810273</t>
  </si>
  <si>
    <t>24.692693 46.809659</t>
  </si>
  <si>
    <t>24.692545 46.808858</t>
  </si>
  <si>
    <t>24.688267 46.663201</t>
  </si>
  <si>
    <t>24.687516 46.663684</t>
  </si>
  <si>
    <t>24.688233 46.663054</t>
  </si>
  <si>
    <t>24.687317 46.663596</t>
  </si>
  <si>
    <t>24.688291 46.663003</t>
  </si>
  <si>
    <t>24.687270 46.663652</t>
  </si>
  <si>
    <t>24.687848 46.663369</t>
  </si>
  <si>
    <t>24.694055 46.659417</t>
  </si>
  <si>
    <t>24.694620 46.658891</t>
  </si>
  <si>
    <t>24.694359 46.659098</t>
  </si>
  <si>
    <t>24.694618 46.659079</t>
  </si>
  <si>
    <t>24.694033 46.659248</t>
  </si>
  <si>
    <t>24.694742 46.659033</t>
  </si>
  <si>
    <t>24.693952 46.659291</t>
  </si>
  <si>
    <t>24.695486 46.658457</t>
  </si>
  <si>
    <t>24.693398 46.659687</t>
  </si>
  <si>
    <t>24.693260 46.659988</t>
  </si>
  <si>
    <t>24.693200 46.659836</t>
  </si>
  <si>
    <t>24.704813 46.653971</t>
  </si>
  <si>
    <t>24.704036 46.654189</t>
  </si>
  <si>
    <t>24.704121 46.654315</t>
  </si>
  <si>
    <t>24.704721 46.653822</t>
  </si>
  <si>
    <t>24.704800 46.653790</t>
  </si>
  <si>
    <t>24.703947 46.654203</t>
  </si>
  <si>
    <t>24.819923 46.700036</t>
  </si>
  <si>
    <t>24.819527 46.700261</t>
  </si>
  <si>
    <t>24.819152 46.700811</t>
  </si>
  <si>
    <t>24.819591 46.700386</t>
  </si>
  <si>
    <t>24.819200 46.701165</t>
  </si>
  <si>
    <t>24.818976 46.701593</t>
  </si>
  <si>
    <t>24.820048 46.700008</t>
  </si>
  <si>
    <t>24.792597 46.834709</t>
  </si>
  <si>
    <t>24.795042 46.839517</t>
  </si>
  <si>
    <t>24.728846 46.692503</t>
  </si>
  <si>
    <t>24.756553 46.711252</t>
  </si>
  <si>
    <t>24.758239 46.686377</t>
  </si>
  <si>
    <t>24.693738 46.752474</t>
  </si>
  <si>
    <t>24.593835 46.774956</t>
  </si>
  <si>
    <t>24.586463 46.778711</t>
  </si>
  <si>
    <t>24.752137 46.672735</t>
  </si>
  <si>
    <t>24.65370446.715367</t>
  </si>
  <si>
    <t>24.653772 46.715610</t>
  </si>
  <si>
    <t>24.653567 46.714056</t>
  </si>
  <si>
    <t>24.653843 46.715854</t>
  </si>
  <si>
    <t>24.654755 46.716663</t>
  </si>
  <si>
    <t>24.656577 46.717529</t>
  </si>
  <si>
    <t>24.655435 46.716828</t>
  </si>
  <si>
    <t>24.656443 46.717604</t>
  </si>
  <si>
    <t>24.654979 46.716770</t>
  </si>
  <si>
    <t>24.656610 46.717513</t>
  </si>
  <si>
    <t>24.744480 46.655083</t>
  </si>
  <si>
    <t xml:space="preserve">24.7444605 46.6555285  </t>
  </si>
  <si>
    <t>24.7444901 46.6556093</t>
  </si>
  <si>
    <t xml:space="preserve">24.744531 46.655755  </t>
  </si>
  <si>
    <t xml:space="preserve">24.744406 46.655447  </t>
  </si>
  <si>
    <t>24.746030 46.658820</t>
  </si>
  <si>
    <t>24.745772 46.658714</t>
  </si>
  <si>
    <t>24.768618 46.712317</t>
  </si>
  <si>
    <t>24.768833 46.712778</t>
  </si>
  <si>
    <t>24.768432 46.712470</t>
  </si>
  <si>
    <t>24.691928 46.718047</t>
  </si>
  <si>
    <t>24.692927 46.718107</t>
  </si>
  <si>
    <t>46.717992‬‏ 24.692063</t>
  </si>
  <si>
    <t>‏ 24.692063</t>
  </si>
  <si>
    <t>24.69282346.718105</t>
  </si>
  <si>
    <t>24.691970 46.717936</t>
  </si>
  <si>
    <t>24.692095 46.718430</t>
  </si>
  <si>
    <t>24.761066 46.647006</t>
  </si>
  <si>
    <t>24.76122246.647389</t>
  </si>
  <si>
    <t>24.760720 46.647150</t>
  </si>
  <si>
    <t>24.760769 46.647447</t>
  </si>
  <si>
    <t>24.761475 46.650784</t>
  </si>
  <si>
    <t>24.761444 46.651056</t>
  </si>
  <si>
    <t xml:space="preserve">24.762110 46.650532  </t>
  </si>
  <si>
    <t xml:space="preserve">24.762566 46.650303  </t>
  </si>
  <si>
    <t>24.761159 46.650996</t>
  </si>
  <si>
    <t>24.680266 46.691729</t>
  </si>
  <si>
    <t>24.680310 46.691686</t>
  </si>
  <si>
    <t>24.680219 46.692510</t>
  </si>
  <si>
    <t>24.712597 46.671577</t>
  </si>
  <si>
    <t>24.71274546.671802</t>
  </si>
  <si>
    <t>24.683322 46.699220</t>
  </si>
  <si>
    <t>24.68363546.699923</t>
  </si>
  <si>
    <t>24.68318046.699392</t>
  </si>
  <si>
    <t>24.6836587 46.6997387</t>
  </si>
  <si>
    <t>24.710882 46.755708</t>
  </si>
  <si>
    <t>24.793907 46.630556</t>
  </si>
  <si>
    <t>24.793707 46.630882</t>
  </si>
  <si>
    <t>24.794456 46.630526</t>
  </si>
  <si>
    <t>24.794041 46.630346</t>
  </si>
  <si>
    <t>24.780599 46.706415</t>
  </si>
  <si>
    <t>24.78025046.706959</t>
  </si>
  <si>
    <t>24.799826 46.740127</t>
  </si>
  <si>
    <t>24.800260 46.739953</t>
  </si>
  <si>
    <t>24.809785 46.622733</t>
  </si>
  <si>
    <t>24.759514 46.738713</t>
  </si>
  <si>
    <t>24.760133 46.738965</t>
  </si>
  <si>
    <t>24.762105 46.744615</t>
  </si>
  <si>
    <t>24.76230546.744499</t>
  </si>
  <si>
    <t>24.76194846.744300</t>
  </si>
  <si>
    <t>24.756750 46.731453</t>
  </si>
  <si>
    <t>24.756406 46.731344</t>
  </si>
  <si>
    <t>24.753474 46.676412</t>
  </si>
  <si>
    <t xml:space="preserve">24.753617 46.676758  </t>
  </si>
  <si>
    <t>24.753420 46.676780</t>
  </si>
  <si>
    <t>24.75351246.676464</t>
  </si>
  <si>
    <t>24.753362 46.676748</t>
  </si>
  <si>
    <t>24.678931 46.688555</t>
  </si>
  <si>
    <t>24.678639 46.687852</t>
  </si>
  <si>
    <t>24.826447 46.614377</t>
  </si>
  <si>
    <t>24.679366 46.777790</t>
  </si>
  <si>
    <t>24.679706 46.777803</t>
  </si>
  <si>
    <t>24.679917 46.777750</t>
  </si>
  <si>
    <t>24.679302 46.777357</t>
  </si>
  <si>
    <t>24.694485 46.773748</t>
  </si>
  <si>
    <t>24.694774 46.773181</t>
  </si>
  <si>
    <t>24.653228 46.792334</t>
  </si>
  <si>
    <t>24.653806 46.792028</t>
  </si>
  <si>
    <t>24.653099 46.791901</t>
  </si>
  <si>
    <t>24.653634 46.792292</t>
  </si>
  <si>
    <t>24.721305 46.772994</t>
  </si>
  <si>
    <t xml:space="preserve">24.721586 46.773420  </t>
  </si>
  <si>
    <t xml:space="preserve">24.721842 46.773241  </t>
  </si>
  <si>
    <t xml:space="preserve">24.721656 46.772967  </t>
  </si>
  <si>
    <t xml:space="preserve">24.720849 46.772209  </t>
  </si>
  <si>
    <t xml:space="preserve">24.720669 46.771914  </t>
  </si>
  <si>
    <t xml:space="preserve">24.721078 46.772031  </t>
  </si>
  <si>
    <t xml:space="preserve">24.720895 46.771755  </t>
  </si>
  <si>
    <t>24.729960 46.786780</t>
  </si>
  <si>
    <t>24.730577 46.787266</t>
  </si>
  <si>
    <t>24.730370 46.787364</t>
  </si>
  <si>
    <t>24.730177 46.786583</t>
  </si>
  <si>
    <t>24.739539 46.802320</t>
  </si>
  <si>
    <t>24.739980 46.803041</t>
  </si>
  <si>
    <t>24.740260 46.802941</t>
  </si>
  <si>
    <t>24.739923 46.802402</t>
  </si>
  <si>
    <t>24.737841 46.799502</t>
  </si>
  <si>
    <t>24.738306 46.800278</t>
  </si>
  <si>
    <t xml:space="preserve">24.738621 46.800114  </t>
  </si>
  <si>
    <t>24.738091 46.799341</t>
  </si>
  <si>
    <t>24.750675 46.820261</t>
  </si>
  <si>
    <t>24.750471 46.819795</t>
  </si>
  <si>
    <t>24.750512 46.819314</t>
  </si>
  <si>
    <t>24.750956 46.820623</t>
  </si>
  <si>
    <t>24.751195 46.820438</t>
  </si>
  <si>
    <t>24.751015 46.820111</t>
  </si>
  <si>
    <t>24.750717 46.819612</t>
  </si>
  <si>
    <t>24.750282 46.819495</t>
  </si>
  <si>
    <t>24.592289 46.848834</t>
  </si>
  <si>
    <t>24.777366 46.850730</t>
  </si>
  <si>
    <t>24.787266 46.857981</t>
  </si>
  <si>
    <t>24.589051 46.855795</t>
  </si>
  <si>
    <t>24.588966 46.856085</t>
  </si>
  <si>
    <t>24.589197 46.856151</t>
  </si>
  <si>
    <t>24.589281 46.855867</t>
  </si>
  <si>
    <t>24.572164 46.884185</t>
  </si>
  <si>
    <t>24.571968 46.884252</t>
  </si>
  <si>
    <t>24.572338 46.883932</t>
  </si>
  <si>
    <t>24.572394 46.884314</t>
  </si>
  <si>
    <t>24.572547 46.884069</t>
  </si>
  <si>
    <t>24.564537 46.896057</t>
  </si>
  <si>
    <t>24.564444 46.896197</t>
  </si>
  <si>
    <t>24.564361 46.896340</t>
  </si>
  <si>
    <t>24.564615 46.896466</t>
  </si>
  <si>
    <t>24.678051 46.857021</t>
  </si>
  <si>
    <t>46.857287‬‏ 24.677779</t>
  </si>
  <si>
    <t>‏ 24.677779</t>
  </si>
  <si>
    <t>24.678624 46.856681</t>
  </si>
  <si>
    <t>24.678066 46.772648</t>
  </si>
  <si>
    <t>24.678111 46.773250</t>
  </si>
  <si>
    <t>24.677944 46.772667</t>
  </si>
  <si>
    <t>24.666791 46.784996</t>
  </si>
  <si>
    <t>24.667172 46.784625</t>
  </si>
  <si>
    <t>24.666615 46.784481</t>
  </si>
  <si>
    <t>24.666840 46.784394</t>
  </si>
  <si>
    <t>24.7495041  46.8510571</t>
  </si>
  <si>
    <t>24.7490154  46.8514216</t>
  </si>
  <si>
    <t>24.7495823 46.8514886</t>
  </si>
  <si>
    <t>46.855436‬‏ 24.743596</t>
  </si>
  <si>
    <t>‏ 24.743596</t>
  </si>
  <si>
    <t>46.855731‬‏ 24.743163</t>
  </si>
  <si>
    <t>‏ 24.743163</t>
  </si>
  <si>
    <t>24.743789 46.855839</t>
  </si>
  <si>
    <t>24.54085746.877738</t>
  </si>
  <si>
    <t>24.54055346.878230</t>
  </si>
  <si>
    <t>24.5407045 46.8775668</t>
  </si>
  <si>
    <t>24.691683046.8561393</t>
  </si>
  <si>
    <t>24.69152846.856423</t>
  </si>
  <si>
    <t>24.690907146.8563696</t>
  </si>
  <si>
    <t>24.690969846.8567153</t>
  </si>
  <si>
    <t>24.5859507 46.8688405</t>
  </si>
  <si>
    <t>24.5859544 46.8692881</t>
  </si>
  <si>
    <t>24.585993 46.869014</t>
  </si>
  <si>
    <t>24.675098 46.656791</t>
  </si>
  <si>
    <t>24.674889 46.656667</t>
  </si>
  <si>
    <t>24.674253 46.657262</t>
  </si>
  <si>
    <t>24.674645 46.656978</t>
  </si>
  <si>
    <t>46.646739‬‏ 24.676231</t>
  </si>
  <si>
    <t>‏ 24.676231</t>
  </si>
  <si>
    <t xml:space="preserve"> 24.67666446.645963</t>
  </si>
  <si>
    <t>24.676181 46.646095</t>
  </si>
  <si>
    <t>24.674860 46.669192</t>
  </si>
  <si>
    <t>24.675062 46.668630</t>
  </si>
  <si>
    <t>24.675513 46.677770</t>
  </si>
  <si>
    <t>24.675566 46.678549</t>
  </si>
  <si>
    <t xml:space="preserve">24.675242 46.677805  </t>
  </si>
  <si>
    <t>24.740012 46.645672</t>
  </si>
  <si>
    <t>24.740220 46.645785</t>
  </si>
  <si>
    <t>24.740513 46.645387</t>
  </si>
  <si>
    <t>24.675319 46.653369</t>
  </si>
  <si>
    <t>24.675729 46.652673</t>
  </si>
  <si>
    <t>24.675349 46.651944</t>
  </si>
  <si>
    <t>24.696328 46.634785</t>
  </si>
  <si>
    <t>24.696200 46.634898</t>
  </si>
  <si>
    <t>24.708204 46.663535</t>
  </si>
  <si>
    <t>24.708693 46.663324</t>
  </si>
  <si>
    <t>24.707977 46.663884</t>
  </si>
  <si>
    <t>24.614449 46.583522</t>
  </si>
  <si>
    <t>24.614458 46.583513</t>
  </si>
  <si>
    <t>24.617845 46.581926</t>
  </si>
  <si>
    <t>24.617790 46.581960</t>
  </si>
  <si>
    <t>24.683707 46.685863</t>
  </si>
  <si>
    <t>24.683888 46.686247</t>
  </si>
  <si>
    <t>24.684000 46.686503</t>
  </si>
  <si>
    <t>24.683739 46.685925</t>
  </si>
  <si>
    <t>24.683728 46.685916</t>
  </si>
  <si>
    <t>24.683984 46.686469</t>
  </si>
  <si>
    <t>24.683977 46.686451</t>
  </si>
  <si>
    <t>24.700198 46.678346</t>
  </si>
  <si>
    <t>24.700051 46.678004</t>
  </si>
  <si>
    <t>24.699965 46.677758</t>
  </si>
  <si>
    <t>24.700173 46.678287</t>
  </si>
  <si>
    <t>24.699974 46.677807</t>
  </si>
  <si>
    <t>24.707669 46.674571</t>
  </si>
  <si>
    <t>24.707431 46.673981</t>
  </si>
  <si>
    <t>24.707565 46.674288</t>
  </si>
  <si>
    <t>24.707649 46.674497</t>
  </si>
  <si>
    <t>24.707434 46.673984</t>
  </si>
  <si>
    <t>24.691222 46.762172</t>
  </si>
  <si>
    <t>24.690876 46.762377</t>
  </si>
  <si>
    <t>24.691069 46.762201</t>
  </si>
  <si>
    <t>24.690730 46.762381</t>
  </si>
  <si>
    <t>24.68210846.695688</t>
  </si>
  <si>
    <t>24.68197046.695988</t>
  </si>
  <si>
    <t>24.68171746.695873</t>
  </si>
  <si>
    <t>24.68148446.696041</t>
  </si>
  <si>
    <t>24.692125 46.717036</t>
  </si>
  <si>
    <t>24.691798 46.716894</t>
  </si>
  <si>
    <t>24.659196 46.701026</t>
  </si>
  <si>
    <t>24.659193 46.700919</t>
  </si>
  <si>
    <t>24.674169 46.691205</t>
  </si>
  <si>
    <t>24.674076 46.691060</t>
  </si>
  <si>
    <t>24.650556 46.735111</t>
  </si>
  <si>
    <t>24.650546 46.735358</t>
  </si>
  <si>
    <t>24.650312 46.735257</t>
  </si>
  <si>
    <t>24.650187 46.735419</t>
  </si>
  <si>
    <t>24.678950 46.776591</t>
  </si>
  <si>
    <t>24.679118 46.776491</t>
  </si>
  <si>
    <t>24.679294 46.776457</t>
  </si>
  <si>
    <t>24.679490 46.776371</t>
  </si>
  <si>
    <t>24.635083 46.692444</t>
  </si>
  <si>
    <t>24.635093 46.692561</t>
  </si>
  <si>
    <t>24.635130 46.692633</t>
  </si>
  <si>
    <t>24.635132 46.692763</t>
  </si>
  <si>
    <t xml:space="preserve">latitude 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</si>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</sst>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0.000000\ 00.000000"/>
  </numFmts>
  <fonts count="42">
    <font>
      <sz val="11"/>
      <color theme="1"/>
      <name val="Arial"/>
      <family val="2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name val="Arial"/>
      <family val="2"/>
      <scheme val="minor"/>
    </font>
    <font>
      <sz val="11"/>
      <name val="Bahij TheSansArabic Light"/>
      <family val="1"/>
    </font>
    <font>
      <sz val="11"/>
      <color theme="2" tint="-0.749992370372631"/>
      <name val="Bahij TheSansArabic Light"/>
      <family val="1"/>
    </font>
    <font>
      <sz val="11"/>
      <name val="Bahij TheSansArabic Plain"/>
      <family val="1"/>
    </font>
    <font>
      <sz val="11"/>
      <color theme="1"/>
      <name val="Arial"/>
      <family val="2"/>
      <scheme val="minor"/>
    </font>
    <font>
      <sz val="14"/>
      <color theme="1"/>
      <name val="Sakkal Majalla"/>
    </font>
    <font>
      <sz val="11"/>
      <color theme="1"/>
      <name val="Calibri"/>
      <family val="2"/>
    </font>
    <font>
      <b/>
      <sz val="11"/>
      <color rgb="FF000000"/>
      <name val="Sakkal Majalla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0"/>
      <color theme="1"/>
      <name val="Bahij TheSansArabic Plain"/>
      <family val="1"/>
    </font>
    <font>
      <sz val="10"/>
      <name val="Bahij TheSansArabic Plain"/>
      <family val="1"/>
    </font>
    <font>
      <sz val="10"/>
      <color indexed="8"/>
      <name val="Arial"/>
      <family val="2"/>
    </font>
    <font>
      <sz val="12"/>
      <color theme="1"/>
      <name val="Arial"/>
      <family val="2"/>
      <charset val="178"/>
      <scheme val="minor"/>
    </font>
    <font>
      <sz val="16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theme="1"/>
      <name val="Sakkal Majalla"/>
    </font>
    <font>
      <sz val="12"/>
      <color theme="1"/>
      <name val="Calibri"/>
      <family val="2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sz val="12"/>
      <color theme="1"/>
      <name val="IrisUPC"/>
      <family val="2"/>
      <charset val="222"/>
    </font>
    <font>
      <sz val="12"/>
      <color theme="1"/>
      <name val="Bodoni MT"/>
      <family val="1"/>
    </font>
    <font>
      <b/>
      <sz val="16"/>
      <color theme="1"/>
      <name val="Arial"/>
      <family val="2"/>
      <charset val="178"/>
      <scheme val="minor"/>
    </font>
    <font>
      <sz val="16"/>
      <color theme="1"/>
      <name val="Arial"/>
      <family val="2"/>
      <charset val="178"/>
      <scheme val="minor"/>
    </font>
    <font>
      <sz val="11"/>
      <name val="Arial"/>
      <family val="2"/>
      <charset val="178"/>
      <scheme val="minor"/>
    </font>
    <font>
      <b/>
      <sz val="16"/>
      <name val="Arial"/>
      <family val="2"/>
      <charset val="178"/>
      <scheme val="minor"/>
    </font>
    <font>
      <sz val="16"/>
      <name val="Arial"/>
      <family val="2"/>
      <charset val="178"/>
      <scheme val="minor"/>
    </font>
    <font>
      <sz val="16"/>
      <color theme="1"/>
      <name val="HSN Shahd Regular"/>
      <family val="1"/>
      <charset val="178"/>
    </font>
    <font>
      <b/>
      <sz val="16"/>
      <color theme="1"/>
      <name val="HSN Shahd Regular"/>
      <family val="1"/>
      <charset val="178"/>
    </font>
    <font>
      <sz val="18"/>
      <color theme="1"/>
      <name val="HSN Shahd Regular"/>
      <family val="1"/>
      <charset val="178"/>
    </font>
    <font>
      <sz val="11"/>
      <color rgb="FFFF0000"/>
      <name val="Bahij TheSansArabic Light"/>
      <family val="1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4"/>
      <color rgb="FF000000"/>
      <name val="Arial"/>
      <family val="2"/>
      <scheme val="minor"/>
    </font>
    <font>
      <sz val="14"/>
      <color theme="1"/>
      <name val="Arial"/>
      <family val="2"/>
      <scheme val="minor"/>
    </font>
    <font>
      <sz val="14"/>
      <color theme="1"/>
      <name val="Calibri"/>
      <family val="2"/>
    </font>
    <font>
      <sz val="10"/>
      <color rgb="FF000000"/>
      <name val="Bahij TheSansArabic Plain"/>
      <family val="1"/>
    </font>
    <font>
      <b/>
      <sz val="10"/>
      <color theme="0"/>
      <name val="Bahij TheSansArabic Plain"/>
      <family val="1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CC"/>
      </patternFill>
    </fill>
    <fill>
      <patternFill patternType="solid">
        <fgColor rgb="FFFFFFFF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2" fillId="0" borderId="0"/>
    <xf numFmtId="0" fontId="7" fillId="0" borderId="0"/>
    <xf numFmtId="0" fontId="7" fillId="5" borderId="9" applyNumberFormat="0" applyFont="0" applyAlignment="0" applyProtection="0"/>
    <xf numFmtId="0" fontId="2" fillId="5" borderId="9" applyNumberFormat="0" applyFont="0" applyAlignment="0" applyProtection="0"/>
    <xf numFmtId="0" fontId="1" fillId="0" borderId="0"/>
    <xf numFmtId="0" fontId="1" fillId="5" borderId="9" applyNumberFormat="0" applyFont="0" applyAlignment="0" applyProtection="0"/>
    <xf numFmtId="0" fontId="15" fillId="0" borderId="0"/>
  </cellStyleXfs>
  <cellXfs count="345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 readingOrder="2"/>
    </xf>
    <xf numFmtId="0" fontId="4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4" fontId="4" fillId="2" borderId="3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 wrapText="1" readingOrder="2"/>
    </xf>
    <xf numFmtId="0" fontId="10" fillId="2" borderId="12" xfId="0" applyFont="1" applyFill="1" applyBorder="1" applyAlignment="1">
      <alignment horizontal="center" vertical="center" wrapText="1" readingOrder="1"/>
    </xf>
    <xf numFmtId="0" fontId="10" fillId="7" borderId="1" xfId="0" applyFont="1" applyFill="1" applyBorder="1" applyAlignment="1">
      <alignment horizontal="center" vertical="center" wrapText="1" readingOrder="2"/>
    </xf>
    <xf numFmtId="0" fontId="10" fillId="2" borderId="1" xfId="0" applyFont="1" applyFill="1" applyBorder="1" applyAlignment="1">
      <alignment horizontal="center" vertical="center" wrapText="1" readingOrder="1"/>
    </xf>
    <xf numFmtId="0" fontId="10" fillId="2" borderId="3" xfId="0" applyFont="1" applyFill="1" applyBorder="1" applyAlignment="1">
      <alignment horizontal="center" vertical="center" wrapText="1" readingOrder="1"/>
    </xf>
    <xf numFmtId="0" fontId="10" fillId="6" borderId="12" xfId="0" applyFont="1" applyFill="1" applyBorder="1" applyAlignment="1">
      <alignment horizontal="right" vertical="center" wrapText="1" readingOrder="2"/>
    </xf>
    <xf numFmtId="0" fontId="10" fillId="7" borderId="12" xfId="0" applyFont="1" applyFill="1" applyBorder="1" applyAlignment="1">
      <alignment horizontal="center" vertical="center" wrapText="1" readingOrder="2"/>
    </xf>
    <xf numFmtId="0" fontId="10" fillId="6" borderId="13" xfId="0" applyFont="1" applyFill="1" applyBorder="1" applyAlignment="1">
      <alignment horizontal="right" vertical="center" wrapText="1" readingOrder="2"/>
    </xf>
    <xf numFmtId="0" fontId="10" fillId="7" borderId="13" xfId="0" applyFont="1" applyFill="1" applyBorder="1" applyAlignment="1">
      <alignment horizontal="center" vertical="center" wrapText="1" readingOrder="2"/>
    </xf>
    <xf numFmtId="0" fontId="10" fillId="6" borderId="3" xfId="0" applyFont="1" applyFill="1" applyBorder="1" applyAlignment="1">
      <alignment horizontal="right" vertical="center" wrapText="1" readingOrder="2"/>
    </xf>
    <xf numFmtId="0" fontId="10" fillId="6" borderId="1" xfId="0" applyFont="1" applyFill="1" applyBorder="1" applyAlignment="1">
      <alignment horizontal="right" vertical="center" wrapText="1" readingOrder="2"/>
    </xf>
    <xf numFmtId="0" fontId="10" fillId="6" borderId="14" xfId="0" applyFont="1" applyFill="1" applyBorder="1" applyAlignment="1">
      <alignment horizontal="right" vertical="center" wrapText="1" readingOrder="2"/>
    </xf>
    <xf numFmtId="0" fontId="10" fillId="7" borderId="14" xfId="0" applyFont="1" applyFill="1" applyBorder="1" applyAlignment="1">
      <alignment horizontal="center" vertical="center" wrapText="1" readingOrder="2"/>
    </xf>
    <xf numFmtId="0" fontId="0" fillId="4" borderId="3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 wrapText="1"/>
    </xf>
    <xf numFmtId="0" fontId="0" fillId="4" borderId="17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 wrapText="1"/>
    </xf>
    <xf numFmtId="0" fontId="0" fillId="8" borderId="11" xfId="0" applyFill="1" applyBorder="1" applyAlignment="1">
      <alignment horizontal="center" vertical="center"/>
    </xf>
    <xf numFmtId="0" fontId="0" fillId="8" borderId="18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11" fillId="10" borderId="15" xfId="0" applyFont="1" applyFill="1" applyBorder="1" applyAlignment="1">
      <alignment horizontal="center" vertical="center"/>
    </xf>
    <xf numFmtId="0" fontId="12" fillId="10" borderId="15" xfId="0" applyFont="1" applyFill="1" applyBorder="1" applyAlignment="1">
      <alignment horizontal="center" vertical="center"/>
    </xf>
    <xf numFmtId="0" fontId="13" fillId="11" borderId="12" xfId="0" applyFont="1" applyFill="1" applyBorder="1" applyAlignment="1">
      <alignment horizontal="right" vertical="center" readingOrder="2"/>
    </xf>
    <xf numFmtId="0" fontId="13" fillId="11" borderId="12" xfId="0" applyFont="1" applyFill="1" applyBorder="1" applyAlignment="1">
      <alignment horizontal="center" vertical="center"/>
    </xf>
    <xf numFmtId="0" fontId="14" fillId="11" borderId="12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right" vertical="center" readingOrder="2"/>
    </xf>
    <xf numFmtId="0" fontId="13" fillId="11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right" vertical="center"/>
    </xf>
    <xf numFmtId="0" fontId="13" fillId="11" borderId="3" xfId="0" applyFont="1" applyFill="1" applyBorder="1" applyAlignment="1">
      <alignment horizontal="right" vertical="center" readingOrder="2"/>
    </xf>
    <xf numFmtId="0" fontId="14" fillId="11" borderId="3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right" vertical="center" readingOrder="2"/>
    </xf>
    <xf numFmtId="0" fontId="14" fillId="2" borderId="1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right" vertical="center" readingOrder="2"/>
    </xf>
    <xf numFmtId="0" fontId="14" fillId="2" borderId="3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right" vertical="center" readingOrder="2"/>
    </xf>
    <xf numFmtId="0" fontId="13" fillId="0" borderId="11" xfId="0" applyFont="1" applyBorder="1" applyAlignment="1">
      <alignment horizontal="right" vertical="center"/>
    </xf>
    <xf numFmtId="0" fontId="13" fillId="2" borderId="3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right" vertical="center"/>
    </xf>
    <xf numFmtId="0" fontId="13" fillId="0" borderId="13" xfId="0" applyFont="1" applyBorder="1" applyAlignment="1">
      <alignment horizontal="right" vertical="center"/>
    </xf>
    <xf numFmtId="0" fontId="13" fillId="2" borderId="13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16" fillId="2" borderId="12" xfId="0" applyFont="1" applyFill="1" applyBorder="1" applyAlignment="1">
      <alignment horizontal="right" vertical="center"/>
    </xf>
    <xf numFmtId="0" fontId="17" fillId="2" borderId="12" xfId="0" applyFont="1" applyFill="1" applyBorder="1" applyAlignment="1">
      <alignment horizontal="center" vertical="center"/>
    </xf>
    <xf numFmtId="0" fontId="18" fillId="2" borderId="12" xfId="2" applyFont="1" applyFill="1" applyBorder="1" applyAlignment="1">
      <alignment horizontal="center" vertical="center"/>
    </xf>
    <xf numFmtId="0" fontId="17" fillId="2" borderId="12" xfId="2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right" vertical="center"/>
    </xf>
    <xf numFmtId="0" fontId="17" fillId="2" borderId="1" xfId="0" applyFont="1" applyFill="1" applyBorder="1" applyAlignment="1">
      <alignment horizontal="center" vertical="center"/>
    </xf>
    <xf numFmtId="0" fontId="18" fillId="2" borderId="1" xfId="2" applyFont="1" applyFill="1" applyBorder="1" applyAlignment="1">
      <alignment horizontal="center" vertical="center"/>
    </xf>
    <xf numFmtId="0" fontId="17" fillId="2" borderId="1" xfId="2" applyFont="1" applyFill="1" applyBorder="1" applyAlignment="1">
      <alignment horizontal="center" vertical="center"/>
    </xf>
    <xf numFmtId="0" fontId="16" fillId="2" borderId="13" xfId="0" applyFont="1" applyFill="1" applyBorder="1" applyAlignment="1">
      <alignment horizontal="right" vertical="center"/>
    </xf>
    <xf numFmtId="0" fontId="17" fillId="2" borderId="13" xfId="0" applyFont="1" applyFill="1" applyBorder="1" applyAlignment="1">
      <alignment horizontal="center" vertical="center"/>
    </xf>
    <xf numFmtId="0" fontId="18" fillId="2" borderId="13" xfId="2" applyFont="1" applyFill="1" applyBorder="1" applyAlignment="1">
      <alignment horizontal="center" vertical="center"/>
    </xf>
    <xf numFmtId="0" fontId="17" fillId="2" borderId="13" xfId="2" applyFont="1" applyFill="1" applyBorder="1" applyAlignment="1">
      <alignment horizontal="center" vertical="center"/>
    </xf>
    <xf numFmtId="0" fontId="19" fillId="2" borderId="12" xfId="0" applyFont="1" applyFill="1" applyBorder="1" applyAlignment="1">
      <alignment horizontal="right" vertical="center"/>
    </xf>
    <xf numFmtId="0" fontId="18" fillId="2" borderId="12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right" vertical="center"/>
    </xf>
    <xf numFmtId="0" fontId="18" fillId="2" borderId="1" xfId="0" applyFont="1" applyFill="1" applyBorder="1" applyAlignment="1">
      <alignment horizontal="center" vertical="center"/>
    </xf>
    <xf numFmtId="0" fontId="19" fillId="2" borderId="13" xfId="0" applyFont="1" applyFill="1" applyBorder="1" applyAlignment="1">
      <alignment horizontal="right" vertical="center"/>
    </xf>
    <xf numFmtId="0" fontId="18" fillId="2" borderId="13" xfId="0" applyFont="1" applyFill="1" applyBorder="1" applyAlignment="1">
      <alignment horizontal="center" vertical="center"/>
    </xf>
    <xf numFmtId="0" fontId="19" fillId="0" borderId="12" xfId="0" applyFont="1" applyBorder="1" applyAlignment="1">
      <alignment horizontal="right" vertical="center"/>
    </xf>
    <xf numFmtId="0" fontId="18" fillId="0" borderId="12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9" fillId="0" borderId="1" xfId="0" applyFont="1" applyBorder="1" applyAlignment="1">
      <alignment horizontal="right" vertical="center"/>
    </xf>
    <xf numFmtId="0" fontId="18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9" fillId="0" borderId="13" xfId="0" applyFont="1" applyBorder="1" applyAlignment="1">
      <alignment horizontal="right" vertical="center"/>
    </xf>
    <xf numFmtId="0" fontId="18" fillId="0" borderId="13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2" borderId="1" xfId="6" applyFont="1" applyFill="1" applyBorder="1" applyAlignment="1">
      <alignment horizontal="center" vertical="center"/>
    </xf>
    <xf numFmtId="0" fontId="16" fillId="2" borderId="15" xfId="0" applyFont="1" applyFill="1" applyBorder="1" applyAlignment="1">
      <alignment horizontal="right" vertical="center"/>
    </xf>
    <xf numFmtId="0" fontId="17" fillId="2" borderId="15" xfId="0" applyFont="1" applyFill="1" applyBorder="1" applyAlignment="1">
      <alignment horizontal="center" vertical="center"/>
    </xf>
    <xf numFmtId="0" fontId="18" fillId="2" borderId="15" xfId="2" applyFont="1" applyFill="1" applyBorder="1" applyAlignment="1">
      <alignment horizontal="center" vertical="center"/>
    </xf>
    <xf numFmtId="0" fontId="17" fillId="2" borderId="15" xfId="2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right" vertical="center" wrapText="1" readingOrder="2"/>
    </xf>
    <xf numFmtId="0" fontId="18" fillId="0" borderId="15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8" fillId="2" borderId="12" xfId="0" applyFont="1" applyFill="1" applyBorder="1" applyAlignment="1">
      <alignment horizontal="right" vertical="center" wrapText="1" readingOrder="2"/>
    </xf>
    <xf numFmtId="0" fontId="8" fillId="2" borderId="1" xfId="0" applyFont="1" applyFill="1" applyBorder="1" applyAlignment="1">
      <alignment horizontal="right" vertical="center" wrapText="1" readingOrder="2"/>
    </xf>
    <xf numFmtId="0" fontId="21" fillId="12" borderId="12" xfId="0" applyFont="1" applyFill="1" applyBorder="1" applyAlignment="1">
      <alignment horizontal="right" vertical="center"/>
    </xf>
    <xf numFmtId="0" fontId="22" fillId="0" borderId="12" xfId="0" applyFont="1" applyBorder="1" applyAlignment="1">
      <alignment horizontal="center" vertical="center"/>
    </xf>
    <xf numFmtId="0" fontId="23" fillId="12" borderId="12" xfId="0" applyFont="1" applyFill="1" applyBorder="1" applyAlignment="1">
      <alignment horizontal="center" vertical="center"/>
    </xf>
    <xf numFmtId="0" fontId="22" fillId="12" borderId="12" xfId="0" applyFont="1" applyFill="1" applyBorder="1" applyAlignment="1">
      <alignment horizontal="center" vertical="center"/>
    </xf>
    <xf numFmtId="0" fontId="21" fillId="12" borderId="1" xfId="0" applyFont="1" applyFill="1" applyBorder="1" applyAlignment="1">
      <alignment horizontal="right" vertical="center"/>
    </xf>
    <xf numFmtId="0" fontId="22" fillId="11" borderId="1" xfId="0" applyFont="1" applyFill="1" applyBorder="1" applyAlignment="1">
      <alignment horizontal="center" vertical="center"/>
    </xf>
    <xf numFmtId="0" fontId="23" fillId="12" borderId="1" xfId="0" applyFont="1" applyFill="1" applyBorder="1" applyAlignment="1">
      <alignment horizontal="center" vertical="center"/>
    </xf>
    <xf numFmtId="0" fontId="22" fillId="12" borderId="1" xfId="0" applyFont="1" applyFill="1" applyBorder="1" applyAlignment="1">
      <alignment horizontal="center" vertical="center"/>
    </xf>
    <xf numFmtId="0" fontId="21" fillId="12" borderId="13" xfId="0" applyFont="1" applyFill="1" applyBorder="1" applyAlignment="1">
      <alignment horizontal="right" vertical="center"/>
    </xf>
    <xf numFmtId="0" fontId="22" fillId="11" borderId="13" xfId="0" applyFont="1" applyFill="1" applyBorder="1" applyAlignment="1">
      <alignment horizontal="center" vertical="center"/>
    </xf>
    <xf numFmtId="0" fontId="23" fillId="12" borderId="13" xfId="0" applyFont="1" applyFill="1" applyBorder="1" applyAlignment="1">
      <alignment horizontal="center" vertical="center"/>
    </xf>
    <xf numFmtId="0" fontId="22" fillId="12" borderId="13" xfId="0" applyFont="1" applyFill="1" applyBorder="1" applyAlignment="1">
      <alignment horizontal="center" vertical="center"/>
    </xf>
    <xf numFmtId="0" fontId="24" fillId="11" borderId="12" xfId="0" applyFont="1" applyFill="1" applyBorder="1" applyAlignment="1">
      <alignment horizontal="right" vertical="center"/>
    </xf>
    <xf numFmtId="0" fontId="22" fillId="11" borderId="12" xfId="0" applyFont="1" applyFill="1" applyBorder="1" applyAlignment="1">
      <alignment horizontal="center" vertical="center"/>
    </xf>
    <xf numFmtId="0" fontId="23" fillId="11" borderId="12" xfId="0" applyFont="1" applyFill="1" applyBorder="1" applyAlignment="1">
      <alignment horizontal="center" vertical="center"/>
    </xf>
    <xf numFmtId="0" fontId="24" fillId="11" borderId="13" xfId="0" applyFont="1" applyFill="1" applyBorder="1" applyAlignment="1">
      <alignment horizontal="right" vertical="center"/>
    </xf>
    <xf numFmtId="0" fontId="23" fillId="11" borderId="13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0" fontId="24" fillId="11" borderId="1" xfId="0" applyFont="1" applyFill="1" applyBorder="1" applyAlignment="1">
      <alignment horizontal="right" vertical="center"/>
    </xf>
    <xf numFmtId="0" fontId="22" fillId="2" borderId="1" xfId="0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 vertical="center"/>
    </xf>
    <xf numFmtId="0" fontId="22" fillId="2" borderId="13" xfId="0" applyFont="1" applyFill="1" applyBorder="1" applyAlignment="1">
      <alignment horizontal="center" vertical="center"/>
    </xf>
    <xf numFmtId="0" fontId="21" fillId="11" borderId="12" xfId="0" applyFont="1" applyFill="1" applyBorder="1" applyAlignment="1">
      <alignment horizontal="right" vertical="center"/>
    </xf>
    <xf numFmtId="0" fontId="23" fillId="0" borderId="12" xfId="0" applyFont="1" applyBorder="1" applyAlignment="1">
      <alignment horizontal="center" vertical="center"/>
    </xf>
    <xf numFmtId="0" fontId="21" fillId="11" borderId="1" xfId="0" applyFont="1" applyFill="1" applyBorder="1" applyAlignment="1">
      <alignment horizontal="right" vertical="center"/>
    </xf>
    <xf numFmtId="0" fontId="23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1" fillId="11" borderId="13" xfId="0" applyFont="1" applyFill="1" applyBorder="1" applyAlignment="1">
      <alignment horizontal="right" vertical="center"/>
    </xf>
    <xf numFmtId="0" fontId="23" fillId="0" borderId="13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25" fillId="2" borderId="12" xfId="0" applyFont="1" applyFill="1" applyBorder="1" applyAlignment="1">
      <alignment horizontal="right" vertical="center"/>
    </xf>
    <xf numFmtId="0" fontId="25" fillId="2" borderId="1" xfId="0" applyFont="1" applyFill="1" applyBorder="1" applyAlignment="1">
      <alignment horizontal="right" vertical="center"/>
    </xf>
    <xf numFmtId="0" fontId="25" fillId="2" borderId="13" xfId="0" applyFont="1" applyFill="1" applyBorder="1" applyAlignment="1">
      <alignment horizontal="right" vertical="center"/>
    </xf>
    <xf numFmtId="0" fontId="21" fillId="2" borderId="12" xfId="0" applyFont="1" applyFill="1" applyBorder="1" applyAlignment="1">
      <alignment horizontal="right" vertical="center"/>
    </xf>
    <xf numFmtId="0" fontId="21" fillId="2" borderId="1" xfId="0" applyFont="1" applyFill="1" applyBorder="1" applyAlignment="1">
      <alignment horizontal="right" vertical="center"/>
    </xf>
    <xf numFmtId="0" fontId="21" fillId="2" borderId="13" xfId="0" applyFont="1" applyFill="1" applyBorder="1" applyAlignment="1">
      <alignment horizontal="right" vertical="center"/>
    </xf>
    <xf numFmtId="0" fontId="21" fillId="0" borderId="12" xfId="0" applyFont="1" applyBorder="1" applyAlignment="1">
      <alignment horizontal="right" vertical="center"/>
    </xf>
    <xf numFmtId="0" fontId="21" fillId="0" borderId="1" xfId="0" applyFont="1" applyBorder="1" applyAlignment="1">
      <alignment horizontal="right" vertical="center"/>
    </xf>
    <xf numFmtId="0" fontId="21" fillId="0" borderId="13" xfId="0" applyFont="1" applyBorder="1" applyAlignment="1">
      <alignment horizontal="right" vertical="center"/>
    </xf>
    <xf numFmtId="0" fontId="21" fillId="0" borderId="15" xfId="0" applyFont="1" applyBorder="1" applyAlignment="1">
      <alignment horizontal="right" vertical="center"/>
    </xf>
    <xf numFmtId="0" fontId="22" fillId="2" borderId="15" xfId="0" applyFont="1" applyFill="1" applyBorder="1" applyAlignment="1">
      <alignment horizontal="center" vertical="center"/>
    </xf>
    <xf numFmtId="0" fontId="18" fillId="2" borderId="15" xfId="0" applyFont="1" applyFill="1" applyBorder="1" applyAlignment="1">
      <alignment horizontal="center" vertical="center"/>
    </xf>
    <xf numFmtId="0" fontId="23" fillId="2" borderId="12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0" fontId="23" fillId="2" borderId="13" xfId="0" applyFont="1" applyFill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0" fontId="0" fillId="2" borderId="12" xfId="0" applyFill="1" applyBorder="1" applyAlignment="1">
      <alignment horizontal="right" vertical="center"/>
    </xf>
    <xf numFmtId="0" fontId="26" fillId="2" borderId="12" xfId="0" applyFont="1" applyFill="1" applyBorder="1" applyAlignment="1">
      <alignment horizontal="center" vertical="center"/>
    </xf>
    <xf numFmtId="0" fontId="27" fillId="2" borderId="12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right" vertical="center"/>
    </xf>
    <xf numFmtId="0" fontId="26" fillId="2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right" vertical="center"/>
    </xf>
    <xf numFmtId="0" fontId="26" fillId="2" borderId="13" xfId="0" applyFont="1" applyFill="1" applyBorder="1" applyAlignment="1">
      <alignment horizontal="center" vertical="center"/>
    </xf>
    <xf numFmtId="0" fontId="27" fillId="2" borderId="13" xfId="0" applyFont="1" applyFill="1" applyBorder="1" applyAlignment="1">
      <alignment horizontal="center" vertical="center"/>
    </xf>
    <xf numFmtId="0" fontId="28" fillId="2" borderId="12" xfId="0" applyFont="1" applyFill="1" applyBorder="1" applyAlignment="1">
      <alignment horizontal="right" vertical="center"/>
    </xf>
    <xf numFmtId="0" fontId="28" fillId="2" borderId="13" xfId="0" applyFont="1" applyFill="1" applyBorder="1" applyAlignment="1">
      <alignment horizontal="right" vertical="center"/>
    </xf>
    <xf numFmtId="0" fontId="0" fillId="0" borderId="12" xfId="0" applyBorder="1" applyAlignment="1">
      <alignment horizontal="right" vertical="center"/>
    </xf>
    <xf numFmtId="0" fontId="26" fillId="0" borderId="12" xfId="0" applyFont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0" fillId="0" borderId="13" xfId="0" applyBorder="1" applyAlignment="1">
      <alignment horizontal="right" vertical="center"/>
    </xf>
    <xf numFmtId="0" fontId="26" fillId="0" borderId="13" xfId="0" applyFont="1" applyBorder="1" applyAlignment="1">
      <alignment horizontal="center" vertical="center"/>
    </xf>
    <xf numFmtId="0" fontId="27" fillId="0" borderId="13" xfId="0" applyFont="1" applyBorder="1" applyAlignment="1">
      <alignment horizontal="center" vertical="center"/>
    </xf>
    <xf numFmtId="0" fontId="0" fillId="2" borderId="12" xfId="0" applyFill="1" applyBorder="1" applyAlignment="1">
      <alignment horizontal="right" vertical="center" wrapText="1"/>
    </xf>
    <xf numFmtId="0" fontId="0" fillId="2" borderId="1" xfId="0" applyFill="1" applyBorder="1" applyAlignment="1">
      <alignment horizontal="right" vertical="center" wrapText="1"/>
    </xf>
    <xf numFmtId="0" fontId="0" fillId="2" borderId="13" xfId="0" applyFill="1" applyBorder="1" applyAlignment="1">
      <alignment horizontal="right" vertical="center" wrapText="1"/>
    </xf>
    <xf numFmtId="0" fontId="0" fillId="2" borderId="15" xfId="0" applyFill="1" applyBorder="1" applyAlignment="1">
      <alignment horizontal="right" vertical="center"/>
    </xf>
    <xf numFmtId="0" fontId="26" fillId="2" borderId="15" xfId="0" applyFont="1" applyFill="1" applyBorder="1" applyAlignment="1">
      <alignment horizontal="center" vertical="center"/>
    </xf>
    <xf numFmtId="0" fontId="27" fillId="2" borderId="15" xfId="0" applyFont="1" applyFill="1" applyBorder="1" applyAlignment="1">
      <alignment horizontal="center" vertical="center"/>
    </xf>
    <xf numFmtId="0" fontId="29" fillId="2" borderId="12" xfId="0" applyFont="1" applyFill="1" applyBorder="1" applyAlignment="1">
      <alignment horizontal="center" vertical="center"/>
    </xf>
    <xf numFmtId="0" fontId="30" fillId="2" borderId="12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/>
    </xf>
    <xf numFmtId="0" fontId="29" fillId="2" borderId="13" xfId="0" applyFont="1" applyFill="1" applyBorder="1" applyAlignment="1">
      <alignment horizontal="center" vertical="center"/>
    </xf>
    <xf numFmtId="0" fontId="30" fillId="2" borderId="13" xfId="0" applyFont="1" applyFill="1" applyBorder="1" applyAlignment="1">
      <alignment horizontal="center" vertical="center"/>
    </xf>
    <xf numFmtId="0" fontId="9" fillId="0" borderId="12" xfId="0" applyFont="1" applyBorder="1" applyAlignment="1">
      <alignment horizontal="right" vertical="center"/>
    </xf>
    <xf numFmtId="0" fontId="9" fillId="0" borderId="1" xfId="0" applyFont="1" applyBorder="1" applyAlignment="1">
      <alignment horizontal="right" vertical="center"/>
    </xf>
    <xf numFmtId="0" fontId="9" fillId="0" borderId="13" xfId="0" applyFont="1" applyBorder="1" applyAlignment="1">
      <alignment horizontal="right" vertical="center"/>
    </xf>
    <xf numFmtId="0" fontId="9" fillId="11" borderId="12" xfId="0" applyFont="1" applyFill="1" applyBorder="1" applyAlignment="1">
      <alignment horizontal="right" vertical="center"/>
    </xf>
    <xf numFmtId="0" fontId="9" fillId="11" borderId="13" xfId="0" applyFont="1" applyFill="1" applyBorder="1" applyAlignment="1">
      <alignment horizontal="right" vertical="center"/>
    </xf>
    <xf numFmtId="0" fontId="9" fillId="12" borderId="12" xfId="0" applyFont="1" applyFill="1" applyBorder="1" applyAlignment="1">
      <alignment horizontal="right" vertical="center"/>
    </xf>
    <xf numFmtId="0" fontId="9" fillId="12" borderId="1" xfId="0" applyFont="1" applyFill="1" applyBorder="1" applyAlignment="1">
      <alignment horizontal="right" vertical="center"/>
    </xf>
    <xf numFmtId="0" fontId="9" fillId="12" borderId="13" xfId="0" applyFont="1" applyFill="1" applyBorder="1" applyAlignment="1">
      <alignment horizontal="right" vertical="center"/>
    </xf>
    <xf numFmtId="0" fontId="9" fillId="11" borderId="1" xfId="0" applyFont="1" applyFill="1" applyBorder="1" applyAlignment="1">
      <alignment horizontal="right" vertical="center"/>
    </xf>
    <xf numFmtId="0" fontId="31" fillId="11" borderId="12" xfId="0" applyFont="1" applyFill="1" applyBorder="1" applyAlignment="1">
      <alignment horizontal="right" vertical="center"/>
    </xf>
    <xf numFmtId="0" fontId="22" fillId="2" borderId="12" xfId="7" applyFont="1" applyFill="1" applyBorder="1" applyAlignment="1">
      <alignment horizontal="center" vertical="center" wrapText="1"/>
    </xf>
    <xf numFmtId="0" fontId="32" fillId="11" borderId="12" xfId="0" applyFont="1" applyFill="1" applyBorder="1" applyAlignment="1">
      <alignment horizontal="center" vertical="center"/>
    </xf>
    <xf numFmtId="0" fontId="31" fillId="11" borderId="12" xfId="0" applyFont="1" applyFill="1" applyBorder="1" applyAlignment="1">
      <alignment horizontal="center" vertical="center"/>
    </xf>
    <xf numFmtId="0" fontId="31" fillId="11" borderId="1" xfId="0" applyFont="1" applyFill="1" applyBorder="1" applyAlignment="1">
      <alignment horizontal="right" vertical="center"/>
    </xf>
    <xf numFmtId="0" fontId="22" fillId="2" borderId="1" xfId="7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/>
    </xf>
    <xf numFmtId="0" fontId="31" fillId="11" borderId="1" xfId="0" applyFont="1" applyFill="1" applyBorder="1" applyAlignment="1">
      <alignment horizontal="center" vertical="center"/>
    </xf>
    <xf numFmtId="0" fontId="31" fillId="11" borderId="13" xfId="0" applyFont="1" applyFill="1" applyBorder="1" applyAlignment="1">
      <alignment horizontal="right" vertical="center"/>
    </xf>
    <xf numFmtId="0" fontId="22" fillId="2" borderId="13" xfId="7" applyFont="1" applyFill="1" applyBorder="1" applyAlignment="1">
      <alignment horizontal="center" vertical="center" wrapText="1"/>
    </xf>
    <xf numFmtId="0" fontId="32" fillId="11" borderId="13" xfId="0" applyFont="1" applyFill="1" applyBorder="1" applyAlignment="1">
      <alignment horizontal="center" vertical="center"/>
    </xf>
    <xf numFmtId="0" fontId="31" fillId="11" borderId="13" xfId="0" applyFont="1" applyFill="1" applyBorder="1" applyAlignment="1">
      <alignment horizontal="center" vertical="center"/>
    </xf>
    <xf numFmtId="0" fontId="31" fillId="11" borderId="12" xfId="0" applyFont="1" applyFill="1" applyBorder="1" applyAlignment="1">
      <alignment horizontal="right" vertical="center" wrapText="1"/>
    </xf>
    <xf numFmtId="0" fontId="31" fillId="11" borderId="1" xfId="0" applyFont="1" applyFill="1" applyBorder="1" applyAlignment="1">
      <alignment horizontal="right" vertical="center" wrapText="1"/>
    </xf>
    <xf numFmtId="0" fontId="31" fillId="11" borderId="13" xfId="0" applyFont="1" applyFill="1" applyBorder="1" applyAlignment="1">
      <alignment horizontal="right" vertical="center" wrapText="1"/>
    </xf>
    <xf numFmtId="0" fontId="32" fillId="11" borderId="12" xfId="0" applyFont="1" applyFill="1" applyBorder="1" applyAlignment="1">
      <alignment horizontal="center" vertical="center" wrapText="1"/>
    </xf>
    <xf numFmtId="0" fontId="31" fillId="11" borderId="12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2" fillId="11" borderId="13" xfId="0" applyFont="1" applyFill="1" applyBorder="1" applyAlignment="1">
      <alignment horizontal="center" vertical="center" wrapText="1"/>
    </xf>
    <xf numFmtId="0" fontId="31" fillId="11" borderId="13" xfId="0" applyFont="1" applyFill="1" applyBorder="1" applyAlignment="1">
      <alignment horizontal="center" vertical="center" wrapText="1"/>
    </xf>
    <xf numFmtId="0" fontId="33" fillId="11" borderId="12" xfId="0" applyFont="1" applyFill="1" applyBorder="1" applyAlignment="1">
      <alignment horizontal="right" vertical="center"/>
    </xf>
    <xf numFmtId="0" fontId="33" fillId="11" borderId="1" xfId="0" applyFont="1" applyFill="1" applyBorder="1" applyAlignment="1">
      <alignment horizontal="right" vertical="center"/>
    </xf>
    <xf numFmtId="0" fontId="33" fillId="11" borderId="13" xfId="0" applyFont="1" applyFill="1" applyBorder="1" applyAlignment="1">
      <alignment horizontal="right" vertical="center"/>
    </xf>
    <xf numFmtId="0" fontId="34" fillId="2" borderId="3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vertical="center" wrapText="1"/>
    </xf>
    <xf numFmtId="14" fontId="4" fillId="13" borderId="1" xfId="0" applyNumberFormat="1" applyFont="1" applyFill="1" applyBorder="1" applyAlignment="1">
      <alignment horizontal="center" vertical="center"/>
    </xf>
    <xf numFmtId="0" fontId="5" fillId="14" borderId="3" xfId="0" applyFont="1" applyFill="1" applyBorder="1" applyAlignment="1">
      <alignment horizontal="center" vertical="center" readingOrder="2"/>
    </xf>
    <xf numFmtId="0" fontId="5" fillId="14" borderId="1" xfId="0" applyFont="1" applyFill="1" applyBorder="1" applyAlignment="1">
      <alignment horizontal="center" vertical="center" readingOrder="2"/>
    </xf>
    <xf numFmtId="0" fontId="4" fillId="15" borderId="1" xfId="0" applyFont="1" applyFill="1" applyBorder="1" applyAlignment="1">
      <alignment horizontal="center" vertical="center"/>
    </xf>
    <xf numFmtId="0" fontId="4" fillId="15" borderId="3" xfId="0" applyFont="1" applyFill="1" applyBorder="1" applyAlignment="1">
      <alignment horizontal="center" vertical="center"/>
    </xf>
    <xf numFmtId="14" fontId="4" fillId="13" borderId="3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 wrapText="1" readingOrder="1"/>
    </xf>
    <xf numFmtId="0" fontId="10" fillId="2" borderId="14" xfId="0" applyFont="1" applyFill="1" applyBorder="1" applyAlignment="1">
      <alignment horizontal="center" vertical="center" wrapText="1" readingOrder="1"/>
    </xf>
    <xf numFmtId="0" fontId="10" fillId="2" borderId="11" xfId="0" applyFont="1" applyFill="1" applyBorder="1" applyAlignment="1">
      <alignment horizontal="center" vertical="center" wrapText="1" readingOrder="1"/>
    </xf>
    <xf numFmtId="0" fontId="9" fillId="11" borderId="19" xfId="0" applyFont="1" applyFill="1" applyBorder="1" applyAlignment="1">
      <alignment horizontal="center" vertical="center"/>
    </xf>
    <xf numFmtId="0" fontId="9" fillId="11" borderId="20" xfId="0" applyFont="1" applyFill="1" applyBorder="1" applyAlignment="1">
      <alignment horizontal="center" vertical="center"/>
    </xf>
    <xf numFmtId="0" fontId="9" fillId="11" borderId="20" xfId="0" applyFont="1" applyFill="1" applyBorder="1" applyAlignment="1">
      <alignment horizontal="center" vertical="center" wrapText="1"/>
    </xf>
    <xf numFmtId="0" fontId="9" fillId="11" borderId="21" xfId="0" applyFont="1" applyFill="1" applyBorder="1" applyAlignment="1">
      <alignment horizontal="center" vertical="center"/>
    </xf>
    <xf numFmtId="0" fontId="36" fillId="2" borderId="20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/>
    </xf>
    <xf numFmtId="0" fontId="36" fillId="2" borderId="21" xfId="0" applyFont="1" applyFill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31" fillId="11" borderId="11" xfId="0" applyFont="1" applyFill="1" applyBorder="1" applyAlignment="1">
      <alignment horizontal="center" vertical="center"/>
    </xf>
    <xf numFmtId="0" fontId="37" fillId="2" borderId="19" xfId="2" applyFont="1" applyFill="1" applyBorder="1" applyAlignment="1">
      <alignment horizontal="center" vertical="center" wrapText="1"/>
    </xf>
    <xf numFmtId="0" fontId="37" fillId="2" borderId="20" xfId="2" applyFont="1" applyFill="1" applyBorder="1" applyAlignment="1">
      <alignment horizontal="center" vertical="center" wrapText="1"/>
    </xf>
    <xf numFmtId="0" fontId="37" fillId="2" borderId="22" xfId="2" applyFont="1" applyFill="1" applyBorder="1" applyAlignment="1">
      <alignment horizontal="center" vertical="center" wrapText="1"/>
    </xf>
    <xf numFmtId="0" fontId="38" fillId="2" borderId="19" xfId="2" applyFont="1" applyFill="1" applyBorder="1" applyAlignment="1">
      <alignment horizontal="center" vertical="center"/>
    </xf>
    <xf numFmtId="0" fontId="37" fillId="2" borderId="19" xfId="0" applyFont="1" applyFill="1" applyBorder="1" applyAlignment="1">
      <alignment horizontal="center" vertical="center" wrapText="1"/>
    </xf>
    <xf numFmtId="0" fontId="37" fillId="2" borderId="20" xfId="0" applyFont="1" applyFill="1" applyBorder="1" applyAlignment="1">
      <alignment horizontal="center" vertical="center" wrapText="1"/>
    </xf>
    <xf numFmtId="164" fontId="37" fillId="2" borderId="20" xfId="0" applyNumberFormat="1" applyFont="1" applyFill="1" applyBorder="1" applyAlignment="1">
      <alignment horizontal="center" vertical="center" wrapText="1"/>
    </xf>
    <xf numFmtId="0" fontId="37" fillId="2" borderId="22" xfId="0" applyFont="1" applyFill="1" applyBorder="1" applyAlignment="1">
      <alignment horizontal="center" vertical="center" wrapText="1"/>
    </xf>
    <xf numFmtId="0" fontId="38" fillId="2" borderId="20" xfId="2" applyFont="1" applyFill="1" applyBorder="1" applyAlignment="1">
      <alignment horizontal="center" vertical="center"/>
    </xf>
    <xf numFmtId="0" fontId="38" fillId="2" borderId="22" xfId="2" applyFont="1" applyFill="1" applyBorder="1" applyAlignment="1">
      <alignment horizontal="center" vertical="center"/>
    </xf>
    <xf numFmtId="0" fontId="38" fillId="2" borderId="19" xfId="0" applyFont="1" applyFill="1" applyBorder="1" applyAlignment="1">
      <alignment horizontal="center" vertical="center"/>
    </xf>
    <xf numFmtId="0" fontId="38" fillId="2" borderId="20" xfId="0" applyFont="1" applyFill="1" applyBorder="1" applyAlignment="1">
      <alignment horizontal="center" vertical="center"/>
    </xf>
    <xf numFmtId="0" fontId="38" fillId="2" borderId="22" xfId="0" applyFont="1" applyFill="1" applyBorder="1" applyAlignment="1">
      <alignment horizontal="center" vertical="center"/>
    </xf>
    <xf numFmtId="165" fontId="37" fillId="2" borderId="19" xfId="0" applyNumberFormat="1" applyFont="1" applyFill="1" applyBorder="1" applyAlignment="1">
      <alignment horizontal="center" vertical="center" wrapText="1"/>
    </xf>
    <xf numFmtId="165" fontId="37" fillId="2" borderId="20" xfId="0" applyNumberFormat="1" applyFont="1" applyFill="1" applyBorder="1" applyAlignment="1">
      <alignment horizontal="center" vertical="center" wrapText="1"/>
    </xf>
    <xf numFmtId="165" fontId="37" fillId="2" borderId="22" xfId="0" applyNumberFormat="1" applyFont="1" applyFill="1" applyBorder="1" applyAlignment="1">
      <alignment horizontal="center" vertical="center" wrapText="1"/>
    </xf>
    <xf numFmtId="164" fontId="38" fillId="2" borderId="20" xfId="0" applyNumberFormat="1" applyFont="1" applyFill="1" applyBorder="1" applyAlignment="1">
      <alignment horizontal="center" vertical="center"/>
    </xf>
    <xf numFmtId="0" fontId="37" fillId="0" borderId="20" xfId="0" applyFont="1" applyBorder="1" applyAlignment="1">
      <alignment horizontal="center" vertical="center" wrapText="1"/>
    </xf>
    <xf numFmtId="0" fontId="37" fillId="0" borderId="22" xfId="0" applyFont="1" applyBorder="1" applyAlignment="1">
      <alignment horizontal="center" vertical="center" wrapText="1"/>
    </xf>
    <xf numFmtId="0" fontId="37" fillId="0" borderId="19" xfId="0" applyFont="1" applyBorder="1" applyAlignment="1">
      <alignment horizontal="center" vertical="center" wrapText="1"/>
    </xf>
    <xf numFmtId="0" fontId="38" fillId="0" borderId="20" xfId="0" applyFont="1" applyBorder="1" applyAlignment="1">
      <alignment horizontal="center" vertical="center"/>
    </xf>
    <xf numFmtId="0" fontId="38" fillId="0" borderId="22" xfId="0" applyFont="1" applyBorder="1" applyAlignment="1">
      <alignment horizontal="center" vertical="center"/>
    </xf>
    <xf numFmtId="0" fontId="38" fillId="0" borderId="19" xfId="0" applyFont="1" applyBorder="1" applyAlignment="1">
      <alignment horizontal="center" vertical="center"/>
    </xf>
    <xf numFmtId="0" fontId="38" fillId="2" borderId="20" xfId="2" applyFont="1" applyFill="1" applyBorder="1" applyAlignment="1">
      <alignment horizontal="center" vertical="center" wrapText="1"/>
    </xf>
    <xf numFmtId="0" fontId="38" fillId="2" borderId="22" xfId="2" applyFont="1" applyFill="1" applyBorder="1" applyAlignment="1">
      <alignment horizontal="center" vertical="center" wrapText="1"/>
    </xf>
    <xf numFmtId="0" fontId="38" fillId="2" borderId="19" xfId="2" applyFont="1" applyFill="1" applyBorder="1" applyAlignment="1">
      <alignment horizontal="center" vertical="center" wrapText="1"/>
    </xf>
    <xf numFmtId="0" fontId="37" fillId="2" borderId="23" xfId="2" applyFont="1" applyFill="1" applyBorder="1" applyAlignment="1">
      <alignment horizontal="center" vertical="center" wrapText="1"/>
    </xf>
    <xf numFmtId="0" fontId="38" fillId="0" borderId="23" xfId="0" applyFont="1" applyBorder="1" applyAlignment="1">
      <alignment horizontal="center" vertical="center"/>
    </xf>
    <xf numFmtId="0" fontId="39" fillId="0" borderId="19" xfId="0" applyFont="1" applyBorder="1" applyAlignment="1">
      <alignment horizontal="center" vertical="center"/>
    </xf>
    <xf numFmtId="0" fontId="39" fillId="11" borderId="20" xfId="0" applyFont="1" applyFill="1" applyBorder="1" applyAlignment="1">
      <alignment horizontal="center" vertical="center"/>
    </xf>
    <xf numFmtId="0" fontId="39" fillId="11" borderId="22" xfId="0" applyFont="1" applyFill="1" applyBorder="1" applyAlignment="1">
      <alignment horizontal="center" vertical="center"/>
    </xf>
    <xf numFmtId="0" fontId="39" fillId="11" borderId="19" xfId="0" applyFont="1" applyFill="1" applyBorder="1" applyAlignment="1">
      <alignment horizontal="center" vertical="center"/>
    </xf>
    <xf numFmtId="0" fontId="39" fillId="0" borderId="22" xfId="0" applyFont="1" applyBorder="1" applyAlignment="1">
      <alignment horizontal="center" vertical="center"/>
    </xf>
    <xf numFmtId="0" fontId="39" fillId="0" borderId="20" xfId="0" applyFont="1" applyBorder="1" applyAlignment="1">
      <alignment horizontal="center" vertical="center"/>
    </xf>
    <xf numFmtId="0" fontId="39" fillId="2" borderId="20" xfId="0" applyFont="1" applyFill="1" applyBorder="1" applyAlignment="1">
      <alignment horizontal="center" vertical="center"/>
    </xf>
    <xf numFmtId="0" fontId="39" fillId="2" borderId="22" xfId="0" applyFont="1" applyFill="1" applyBorder="1" applyAlignment="1">
      <alignment horizontal="center" vertical="center"/>
    </xf>
    <xf numFmtId="0" fontId="37" fillId="2" borderId="23" xfId="0" applyFont="1" applyFill="1" applyBorder="1" applyAlignment="1">
      <alignment horizontal="center" vertical="center" wrapText="1"/>
    </xf>
    <xf numFmtId="0" fontId="39" fillId="2" borderId="19" xfId="0" applyFont="1" applyFill="1" applyBorder="1" applyAlignment="1">
      <alignment horizontal="center" vertical="center"/>
    </xf>
    <xf numFmtId="0" fontId="39" fillId="0" borderId="23" xfId="0" applyFont="1" applyBorder="1" applyAlignment="1">
      <alignment horizontal="center" vertical="center"/>
    </xf>
    <xf numFmtId="0" fontId="38" fillId="2" borderId="19" xfId="0" applyFont="1" applyFill="1" applyBorder="1" applyAlignment="1">
      <alignment horizontal="center" vertical="center" wrapText="1"/>
    </xf>
    <xf numFmtId="0" fontId="38" fillId="2" borderId="20" xfId="0" applyFont="1" applyFill="1" applyBorder="1" applyAlignment="1">
      <alignment horizontal="center" vertical="center" wrapText="1"/>
    </xf>
    <xf numFmtId="0" fontId="37" fillId="2" borderId="20" xfId="0" applyFont="1" applyFill="1" applyBorder="1" applyAlignment="1">
      <alignment horizontal="center" vertical="center"/>
    </xf>
    <xf numFmtId="0" fontId="38" fillId="2" borderId="23" xfId="0" applyFont="1" applyFill="1" applyBorder="1" applyAlignment="1">
      <alignment horizontal="center" vertical="center"/>
    </xf>
    <xf numFmtId="0" fontId="37" fillId="2" borderId="22" xfId="0" applyFont="1" applyFill="1" applyBorder="1" applyAlignment="1">
      <alignment horizontal="center" vertical="center" wrapText="1" readingOrder="1"/>
    </xf>
    <xf numFmtId="0" fontId="6" fillId="2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4" fontId="4" fillId="15" borderId="1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6" fillId="16" borderId="3" xfId="0" applyFont="1" applyFill="1" applyBorder="1" applyAlignment="1">
      <alignment horizontal="center" vertical="center"/>
    </xf>
    <xf numFmtId="0" fontId="34" fillId="2" borderId="10" xfId="0" applyFont="1" applyFill="1" applyBorder="1" applyAlignment="1">
      <alignment horizontal="center" vertical="center"/>
    </xf>
    <xf numFmtId="0" fontId="34" fillId="2" borderId="1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right" vertical="center" wrapText="1" readingOrder="2"/>
    </xf>
    <xf numFmtId="0" fontId="0" fillId="8" borderId="16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10" fillId="6" borderId="12" xfId="0" applyFont="1" applyFill="1" applyBorder="1" applyAlignment="1">
      <alignment horizontal="right" vertical="center" wrapText="1" readingOrder="1"/>
    </xf>
    <xf numFmtId="0" fontId="0" fillId="4" borderId="11" xfId="0" applyFill="1" applyBorder="1" applyAlignment="1">
      <alignment horizontal="center" vertical="center" wrapText="1"/>
    </xf>
    <xf numFmtId="0" fontId="0" fillId="8" borderId="5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center" wrapText="1"/>
    </xf>
    <xf numFmtId="0" fontId="0" fillId="8" borderId="16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8" borderId="17" xfId="0" applyFill="1" applyBorder="1" applyAlignment="1">
      <alignment horizontal="center" vertical="center"/>
    </xf>
    <xf numFmtId="0" fontId="10" fillId="7" borderId="5" xfId="0" applyFont="1" applyFill="1" applyBorder="1" applyAlignment="1">
      <alignment horizontal="center" vertical="center" wrapText="1" readingOrder="2"/>
    </xf>
    <xf numFmtId="0" fontId="10" fillId="7" borderId="6" xfId="0" applyFont="1" applyFill="1" applyBorder="1" applyAlignment="1">
      <alignment horizontal="center" vertical="center" wrapText="1" readingOrder="2"/>
    </xf>
    <xf numFmtId="0" fontId="14" fillId="11" borderId="1" xfId="0" applyFont="1" applyFill="1" applyBorder="1" applyAlignment="1" applyProtection="1">
      <alignment horizontal="right" vertical="center" indent="1" readingOrder="2"/>
      <protection locked="0"/>
    </xf>
    <xf numFmtId="0" fontId="13" fillId="11" borderId="1" xfId="0" applyFont="1" applyFill="1" applyBorder="1" applyAlignment="1" applyProtection="1">
      <alignment horizontal="right" vertical="center" indent="1" readingOrder="2"/>
      <protection locked="0"/>
    </xf>
    <xf numFmtId="0" fontId="14" fillId="11" borderId="1" xfId="0" applyFont="1" applyFill="1" applyBorder="1" applyAlignment="1">
      <alignment horizontal="right" vertical="center" indent="1" readingOrder="2"/>
    </xf>
    <xf numFmtId="0" fontId="13" fillId="11" borderId="1" xfId="0" applyFont="1" applyFill="1" applyBorder="1" applyAlignment="1">
      <alignment horizontal="right" vertical="center" indent="1" readingOrder="2"/>
    </xf>
    <xf numFmtId="0" fontId="13" fillId="2" borderId="1" xfId="0" applyFont="1" applyFill="1" applyBorder="1" applyAlignment="1">
      <alignment horizontal="right" vertical="center" indent="1" readingOrder="2"/>
    </xf>
    <xf numFmtId="0" fontId="13" fillId="11" borderId="1" xfId="0" applyFont="1" applyFill="1" applyBorder="1" applyAlignment="1">
      <alignment horizontal="right" vertical="center" wrapText="1" indent="1" readingOrder="2"/>
    </xf>
    <xf numFmtId="0" fontId="14" fillId="2" borderId="1" xfId="0" applyFont="1" applyFill="1" applyBorder="1" applyAlignment="1">
      <alignment horizontal="right" vertical="center" indent="1" readingOrder="2"/>
    </xf>
    <xf numFmtId="0" fontId="40" fillId="2" borderId="1" xfId="0" applyFont="1" applyFill="1" applyBorder="1" applyAlignment="1">
      <alignment horizontal="right" vertical="center" wrapText="1" indent="1" readingOrder="2"/>
    </xf>
    <xf numFmtId="0" fontId="13" fillId="2" borderId="1" xfId="2" applyFont="1" applyFill="1" applyBorder="1" applyAlignment="1">
      <alignment horizontal="right" vertical="center" indent="1" readingOrder="2"/>
    </xf>
    <xf numFmtId="0" fontId="40" fillId="2" borderId="1" xfId="2" applyFont="1" applyFill="1" applyBorder="1" applyAlignment="1">
      <alignment horizontal="right" vertical="center" wrapText="1" indent="1" readingOrder="2"/>
    </xf>
    <xf numFmtId="164" fontId="40" fillId="2" borderId="1" xfId="0" applyNumberFormat="1" applyFont="1" applyFill="1" applyBorder="1" applyAlignment="1">
      <alignment horizontal="right" vertical="center" wrapText="1" indent="1" readingOrder="2"/>
    </xf>
    <xf numFmtId="0" fontId="13" fillId="2" borderId="1" xfId="6" applyFont="1" applyFill="1" applyBorder="1" applyAlignment="1" applyProtection="1">
      <alignment horizontal="right" vertical="center" indent="1" readingOrder="2"/>
    </xf>
    <xf numFmtId="165" fontId="40" fillId="2" borderId="1" xfId="0" applyNumberFormat="1" applyFont="1" applyFill="1" applyBorder="1" applyAlignment="1">
      <alignment horizontal="right" vertical="center" wrapText="1" indent="1" readingOrder="2"/>
    </xf>
    <xf numFmtId="164" fontId="13" fillId="2" borderId="1" xfId="0" applyNumberFormat="1" applyFont="1" applyFill="1" applyBorder="1" applyAlignment="1">
      <alignment horizontal="right" vertical="center" indent="1" readingOrder="2"/>
    </xf>
    <xf numFmtId="0" fontId="13" fillId="2" borderId="1" xfId="2" applyFont="1" applyFill="1" applyBorder="1" applyAlignment="1">
      <alignment horizontal="right" vertical="center" wrapText="1" indent="1" readingOrder="2"/>
    </xf>
    <xf numFmtId="0" fontId="13" fillId="2" borderId="1" xfId="0" applyFont="1" applyFill="1" applyBorder="1" applyAlignment="1">
      <alignment horizontal="right" vertical="center" wrapText="1" indent="1" readingOrder="2"/>
    </xf>
    <xf numFmtId="0" fontId="40" fillId="2" borderId="1" xfId="0" applyFont="1" applyFill="1" applyBorder="1" applyAlignment="1">
      <alignment horizontal="right" vertical="center" indent="1" readingOrder="2"/>
    </xf>
    <xf numFmtId="0" fontId="13" fillId="2" borderId="1" xfId="7" applyFont="1" applyFill="1" applyBorder="1" applyAlignment="1">
      <alignment horizontal="right" vertical="center" wrapText="1" indent="1" readingOrder="2"/>
    </xf>
    <xf numFmtId="0" fontId="13" fillId="2" borderId="8" xfId="0" applyFont="1" applyFill="1" applyBorder="1" applyAlignment="1">
      <alignment horizontal="right" vertical="center" readingOrder="2"/>
    </xf>
    <xf numFmtId="0" fontId="13" fillId="2" borderId="8" xfId="0" applyFont="1" applyFill="1" applyBorder="1" applyAlignment="1">
      <alignment horizontal="right" vertical="center" wrapText="1" indent="1" readingOrder="2"/>
    </xf>
    <xf numFmtId="0" fontId="13" fillId="2" borderId="8" xfId="0" applyFont="1" applyFill="1" applyBorder="1" applyAlignment="1">
      <alignment horizontal="right" vertical="center" indent="1" readingOrder="2"/>
    </xf>
    <xf numFmtId="0" fontId="40" fillId="2" borderId="8" xfId="0" applyFont="1" applyFill="1" applyBorder="1" applyAlignment="1">
      <alignment horizontal="right" vertical="center" wrapText="1" indent="1" readingOrder="2"/>
    </xf>
    <xf numFmtId="0" fontId="13" fillId="2" borderId="3" xfId="0" applyFont="1" applyFill="1" applyBorder="1" applyAlignment="1">
      <alignment horizontal="right" vertical="center" indent="1" readingOrder="2"/>
    </xf>
    <xf numFmtId="0" fontId="13" fillId="2" borderId="3" xfId="0" applyFont="1" applyFill="1" applyBorder="1" applyAlignment="1">
      <alignment horizontal="right" vertical="center" wrapText="1" indent="1" readingOrder="2"/>
    </xf>
    <xf numFmtId="0" fontId="40" fillId="2" borderId="3" xfId="0" applyFont="1" applyFill="1" applyBorder="1" applyAlignment="1">
      <alignment horizontal="right" vertical="center" wrapText="1" indent="1" readingOrder="2"/>
    </xf>
    <xf numFmtId="0" fontId="41" fillId="17" borderId="24" xfId="0" applyFont="1" applyFill="1" applyBorder="1" applyAlignment="1">
      <alignment horizontal="right" vertical="center" readingOrder="2"/>
    </xf>
    <xf numFmtId="0" fontId="41" fillId="17" borderId="15" xfId="0" applyFont="1" applyFill="1" applyBorder="1" applyAlignment="1">
      <alignment horizontal="right" vertical="center" wrapText="1" indent="1" readingOrder="2"/>
    </xf>
    <xf numFmtId="0" fontId="41" fillId="17" borderId="15" xfId="0" applyFont="1" applyFill="1" applyBorder="1" applyAlignment="1">
      <alignment horizontal="right" vertical="center" indent="1" readingOrder="2"/>
    </xf>
    <xf numFmtId="0" fontId="41" fillId="17" borderId="25" xfId="0" applyFont="1" applyFill="1" applyBorder="1" applyAlignment="1">
      <alignment horizontal="right" vertical="center" wrapText="1" indent="1" readingOrder="2"/>
    </xf>
    <xf numFmtId="0" fontId="13" fillId="11" borderId="1" xfId="0" applyFont="1" applyFill="1" applyBorder="1" applyAlignment="1">
      <alignment horizontal="center" vertical="center" wrapText="1" readingOrder="2"/>
    </xf>
    <xf numFmtId="0" fontId="14" fillId="11" borderId="11" xfId="0" applyFont="1" applyFill="1" applyBorder="1" applyAlignment="1" applyProtection="1">
      <alignment horizontal="right" vertical="center" indent="1" readingOrder="2"/>
      <protection locked="0"/>
    </xf>
  </cellXfs>
  <cellStyles count="8">
    <cellStyle name="Normal" xfId="0" builtinId="0"/>
    <cellStyle name="Normal 2" xfId="2" xr:uid="{2F201DEF-007C-4CDA-9C08-B5F51AE1D37B}"/>
    <cellStyle name="Normal 3" xfId="1" xr:uid="{F674AD0E-CAB2-45B3-9B54-E114EAC70C7C}"/>
    <cellStyle name="Normal 4" xfId="5" xr:uid="{921EE3F3-EDDF-4944-BDF2-FDD47F01731C}"/>
    <cellStyle name="Normal_Mobily ip" xfId="7" xr:uid="{293ED574-4E17-4A02-8BC9-8D0588BB047F}"/>
    <cellStyle name="Note 2" xfId="3" xr:uid="{0C1F51CE-4A2B-4F97-A9DF-416E2B9463B3}"/>
    <cellStyle name="Note 3" xfId="4" xr:uid="{6BDCC32D-EA2D-4C16-AB2F-1A3A7A5CD4A7}"/>
    <cellStyle name="Note 4" xfId="6" xr:uid="{80FD566D-5B9B-42D5-8012-59C3C4A4ABE6}"/>
  </cellStyles>
  <dxfs count="0"/>
  <tableStyles count="0" defaultTableStyle="TableStyleMedium2" defaultPivotStyle="PivotStyleLight16"/>
  <colors>
    <mruColors>
      <color rgb="FFFF5050"/>
      <color rgb="FFE4AB5E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5ECBC-DEC1-4561-9B9B-DED129A7BDCD}">
  <sheetPr codeName="Sheet2"/>
  <dimension ref="A1:Q645"/>
  <sheetViews>
    <sheetView rightToLeft="1" topLeftCell="A877" zoomScale="20" zoomScaleNormal="20" workbookViewId="0">
      <selection activeCell="D1002" sqref="D1002"/>
    </sheetView>
  </sheetViews>
  <sheetFormatPr defaultRowHeight="14.25"/>
  <cols>
    <col min="2" max="2" width="42.375" style="1" customWidth="1"/>
    <col min="3" max="3" width="82.375" bestFit="1" customWidth="1"/>
    <col min="4" max="4" width="9.125" customWidth="1"/>
    <col min="5" max="5" width="57.875" bestFit="1" customWidth="1"/>
    <col min="6" max="6" width="25.625" customWidth="1"/>
    <col min="7" max="7" width="23.5" bestFit="1" customWidth="1"/>
    <col min="8" max="8" width="9.125" customWidth="1"/>
    <col min="9" max="9" width="6.125" customWidth="1"/>
    <col min="10" max="10" width="65.375" hidden="1" customWidth="1"/>
    <col min="11" max="11" width="11.5" hidden="1" customWidth="1"/>
    <col min="12" max="12" width="9.875" customWidth="1"/>
    <col min="13" max="13" width="65.375" bestFit="1" customWidth="1"/>
    <col min="14" max="14" width="45.5" customWidth="1"/>
    <col min="15" max="15" width="34" customWidth="1"/>
    <col min="16" max="16" width="28.375" bestFit="1" customWidth="1"/>
    <col min="17" max="17" width="31.5" bestFit="1" customWidth="1"/>
  </cols>
  <sheetData>
    <row r="1" spans="1:17" ht="15.75" thickBot="1">
      <c r="A1" t="s">
        <v>1</v>
      </c>
      <c r="B1" s="4" t="s">
        <v>66</v>
      </c>
      <c r="C1" s="5" t="s">
        <v>67</v>
      </c>
      <c r="L1" t="s">
        <v>1</v>
      </c>
      <c r="M1" s="48" t="s">
        <v>0</v>
      </c>
      <c r="N1" s="49" t="s">
        <v>486</v>
      </c>
      <c r="O1" s="48" t="s">
        <v>487</v>
      </c>
    </row>
    <row r="2" spans="1:17" ht="15">
      <c r="A2">
        <v>1</v>
      </c>
      <c r="B2" s="231" t="s">
        <v>68</v>
      </c>
      <c r="C2" s="294" t="s">
        <v>546</v>
      </c>
      <c r="E2" t="str">
        <f t="shared" ref="E2:E24" si="0">IFERROR(INDEX(M:M, MATCH(C2, O:O, 0)), "Not Found")</f>
        <v xml:space="preserve">مخرج 7 الى 8 - الدائري الشمالي - شرق (1) </v>
      </c>
      <c r="F2" t="str">
        <f t="shared" ref="F2:F24" si="1">IFERROR(INDEX(N:N, MATCH(C2, O:O, 0)), "Not Found")</f>
        <v>EX7TO8-E-1</v>
      </c>
      <c r="G2" t="str">
        <f t="shared" ref="G2:G24" si="2">IFERROR(INDEX(Q:Q, MATCH(C2, O:O, 0)), "Not Found")</f>
        <v xml:space="preserve">24.789688, 46.715872 </v>
      </c>
      <c r="L2">
        <v>1</v>
      </c>
      <c r="M2" s="50" t="s">
        <v>488</v>
      </c>
      <c r="N2" s="51" t="s">
        <v>489</v>
      </c>
      <c r="O2" s="52" t="s">
        <v>490</v>
      </c>
      <c r="P2" t="s">
        <v>1</v>
      </c>
      <c r="Q2" s="237" t="s">
        <v>1746</v>
      </c>
    </row>
    <row r="3" spans="1:17" ht="36" customHeight="1">
      <c r="A3">
        <v>2</v>
      </c>
      <c r="B3" s="231" t="s">
        <v>68</v>
      </c>
      <c r="C3" s="294" t="s">
        <v>642</v>
      </c>
      <c r="E3" t="str">
        <f t="shared" si="0"/>
        <v>مخرج 18 الى 17 - الدائري الشرقي - شمال</v>
      </c>
      <c r="F3" t="str">
        <f t="shared" si="1"/>
        <v>EX18TO17-N</v>
      </c>
      <c r="G3" t="str">
        <f t="shared" si="2"/>
        <v>24.648381, 46.794659</v>
      </c>
      <c r="L3">
        <v>2</v>
      </c>
      <c r="M3" s="53" t="s">
        <v>491</v>
      </c>
      <c r="N3" s="54" t="s">
        <v>492</v>
      </c>
      <c r="O3" s="55" t="s">
        <v>493</v>
      </c>
      <c r="P3" t="s">
        <v>1</v>
      </c>
      <c r="Q3" s="238" t="s">
        <v>1747</v>
      </c>
    </row>
    <row r="4" spans="1:17" ht="36.75" customHeight="1">
      <c r="A4">
        <v>3</v>
      </c>
      <c r="B4" s="231" t="s">
        <v>68</v>
      </c>
      <c r="C4" s="294" t="s">
        <v>106</v>
      </c>
      <c r="E4" t="str">
        <f t="shared" si="0"/>
        <v>شاشة مخرج 19 - الدائري الجنوبي - غرب</v>
      </c>
      <c r="F4" t="str">
        <f t="shared" si="1"/>
        <v>EX19-VMS-W</v>
      </c>
      <c r="G4" t="str">
        <f t="shared" si="2"/>
        <v>‪24.62618, 46.783608</v>
      </c>
      <c r="L4">
        <v>3</v>
      </c>
      <c r="M4" s="53" t="s">
        <v>494</v>
      </c>
      <c r="N4" s="54" t="s">
        <v>495</v>
      </c>
      <c r="O4" s="55" t="s">
        <v>496</v>
      </c>
      <c r="P4" t="s">
        <v>1</v>
      </c>
      <c r="Q4" s="238" t="s">
        <v>1748</v>
      </c>
    </row>
    <row r="5" spans="1:17" ht="36.75" customHeight="1">
      <c r="A5">
        <v>4</v>
      </c>
      <c r="B5" s="231" t="s">
        <v>68</v>
      </c>
      <c r="C5" s="294" t="s">
        <v>110</v>
      </c>
      <c r="E5" t="str">
        <f t="shared" si="0"/>
        <v>مخرج 14 الى 13 - الدائري الشرقي - شمال</v>
      </c>
      <c r="F5" t="str">
        <f t="shared" si="1"/>
        <v>EX14TO13-N</v>
      </c>
      <c r="G5" t="str">
        <f t="shared" si="2"/>
        <v>24.708805, 46.765935</v>
      </c>
      <c r="L5">
        <v>4</v>
      </c>
      <c r="M5" s="53" t="s">
        <v>497</v>
      </c>
      <c r="N5" s="54" t="s">
        <v>498</v>
      </c>
      <c r="O5" s="55" t="s">
        <v>113</v>
      </c>
      <c r="P5" t="s">
        <v>1</v>
      </c>
      <c r="Q5" s="238" t="s">
        <v>1749</v>
      </c>
    </row>
    <row r="6" spans="1:17" ht="36.75" customHeight="1">
      <c r="A6">
        <v>5</v>
      </c>
      <c r="B6" s="231" t="s">
        <v>68</v>
      </c>
      <c r="C6" s="294" t="s">
        <v>1285</v>
      </c>
      <c r="E6" t="str">
        <f t="shared" si="0"/>
        <v>نفق تقاطع الطريق الدائري الشرقي مع طريق الملك عبدالله</v>
      </c>
      <c r="F6" t="str">
        <f t="shared" si="1"/>
        <v>EX10_TN_NS</v>
      </c>
      <c r="G6" t="str">
        <f t="shared" si="2"/>
        <v>24.759514, 46.738713</v>
      </c>
      <c r="L6">
        <v>5</v>
      </c>
      <c r="M6" s="53" t="s">
        <v>499</v>
      </c>
      <c r="N6" s="54" t="s">
        <v>500</v>
      </c>
      <c r="O6" s="55" t="s">
        <v>501</v>
      </c>
      <c r="P6" t="s">
        <v>1</v>
      </c>
      <c r="Q6" s="238" t="s">
        <v>1750</v>
      </c>
    </row>
    <row r="7" spans="1:17" ht="36.75" customHeight="1">
      <c r="A7">
        <v>6</v>
      </c>
      <c r="B7" s="231" t="s">
        <v>68</v>
      </c>
      <c r="C7" s="294" t="s">
        <v>111</v>
      </c>
      <c r="E7" t="str">
        <f t="shared" si="0"/>
        <v>عمود مخرج 13 - الدائري الشرقي - شمال (1)</v>
      </c>
      <c r="F7" t="str">
        <f t="shared" si="1"/>
        <v>EXIT13-POLE-N-1</v>
      </c>
      <c r="G7" t="str">
        <f t="shared" si="2"/>
        <v>24.714580, 46.762316</v>
      </c>
      <c r="L7">
        <v>6</v>
      </c>
      <c r="M7" s="53" t="s">
        <v>502</v>
      </c>
      <c r="N7" s="54" t="s">
        <v>503</v>
      </c>
      <c r="O7" s="55" t="s">
        <v>504</v>
      </c>
      <c r="P7" t="s">
        <v>1</v>
      </c>
      <c r="Q7" s="238" t="s">
        <v>1751</v>
      </c>
    </row>
    <row r="8" spans="1:17" ht="36.75" customHeight="1">
      <c r="A8">
        <v>7</v>
      </c>
      <c r="B8" s="231" t="s">
        <v>68</v>
      </c>
      <c r="C8" s="294" t="s">
        <v>587</v>
      </c>
      <c r="E8" t="str">
        <f t="shared" si="0"/>
        <v xml:space="preserve">مخرج 12 الى 11 - الدائري الشرقي - شمال </v>
      </c>
      <c r="F8" t="str">
        <f t="shared" si="1"/>
        <v>EX12TO11-N</v>
      </c>
      <c r="G8" t="str">
        <f t="shared" si="2"/>
        <v>24.736403, 46.750815</v>
      </c>
      <c r="L8">
        <v>7</v>
      </c>
      <c r="M8" s="53" t="s">
        <v>505</v>
      </c>
      <c r="N8" s="54" t="s">
        <v>506</v>
      </c>
      <c r="O8" s="55" t="s">
        <v>507</v>
      </c>
      <c r="P8" t="s">
        <v>1</v>
      </c>
      <c r="Q8" s="238" t="s">
        <v>1752</v>
      </c>
    </row>
    <row r="9" spans="1:17" ht="36.75" customHeight="1">
      <c r="A9">
        <v>8</v>
      </c>
      <c r="B9" s="231" t="s">
        <v>68</v>
      </c>
      <c r="C9" s="294" t="s">
        <v>112</v>
      </c>
      <c r="E9" t="str">
        <f t="shared" si="0"/>
        <v>نفق مخرج 14  تقاطع طريق الدائري الشرقي مع طريق عمر بن عبدالعزيز</v>
      </c>
      <c r="F9" t="str">
        <f t="shared" si="1"/>
        <v>EX14_TN_SN</v>
      </c>
      <c r="G9" t="str">
        <f t="shared" si="2"/>
        <v>24.694485, 46.773748</v>
      </c>
      <c r="L9">
        <v>8</v>
      </c>
      <c r="M9" s="53" t="s">
        <v>508</v>
      </c>
      <c r="N9" s="54" t="s">
        <v>509</v>
      </c>
      <c r="O9" s="55" t="s">
        <v>510</v>
      </c>
      <c r="P9" t="s">
        <v>1</v>
      </c>
      <c r="Q9" s="238" t="s">
        <v>1753</v>
      </c>
    </row>
    <row r="10" spans="1:17" ht="36.75" customHeight="1">
      <c r="A10">
        <v>9</v>
      </c>
      <c r="B10" s="231" t="s">
        <v>68</v>
      </c>
      <c r="C10" s="294" t="s">
        <v>113</v>
      </c>
      <c r="E10" t="str">
        <f t="shared" si="0"/>
        <v>مخرج 2 الى 1 - الدائري الشمالي -غرب - جانتري (1)</v>
      </c>
      <c r="F10" t="str">
        <f t="shared" si="1"/>
        <v>EX2TO1-W-1</v>
      </c>
      <c r="G10" t="str">
        <f t="shared" si="2"/>
        <v>24.742768, 46.603283</v>
      </c>
      <c r="L10">
        <v>9</v>
      </c>
      <c r="M10" s="56" t="s">
        <v>511</v>
      </c>
      <c r="N10" s="54" t="s">
        <v>512</v>
      </c>
      <c r="O10" s="55" t="s">
        <v>513</v>
      </c>
      <c r="P10" t="s">
        <v>1</v>
      </c>
      <c r="Q10" s="238" t="s">
        <v>1754</v>
      </c>
    </row>
    <row r="11" spans="1:17" ht="36.75" customHeight="1">
      <c r="A11">
        <v>10</v>
      </c>
      <c r="B11" s="231" t="s">
        <v>68</v>
      </c>
      <c r="C11" s="294" t="s">
        <v>114</v>
      </c>
      <c r="E11" t="str">
        <f t="shared" si="0"/>
        <v>مخرج 5 الى 6 - الدائري الشمالي - شرق - جانتري (2)</v>
      </c>
      <c r="F11" t="str">
        <f t="shared" si="1"/>
        <v>EX5TO6-E-2</v>
      </c>
      <c r="G11" t="str">
        <f t="shared" si="2"/>
        <v>24.775587, 46.682076</v>
      </c>
      <c r="L11">
        <v>10</v>
      </c>
      <c r="M11" s="53" t="s">
        <v>514</v>
      </c>
      <c r="N11" s="54" t="s">
        <v>515</v>
      </c>
      <c r="O11" s="55" t="s">
        <v>516</v>
      </c>
      <c r="P11" t="s">
        <v>1</v>
      </c>
      <c r="Q11" s="238" t="s">
        <v>1712</v>
      </c>
    </row>
    <row r="12" spans="1:17" ht="36.75" customHeight="1">
      <c r="A12">
        <v>11</v>
      </c>
      <c r="B12" s="231" t="s">
        <v>68</v>
      </c>
      <c r="C12" s="294" t="s">
        <v>115</v>
      </c>
      <c r="E12" t="str">
        <f t="shared" si="0"/>
        <v>مخرج 6 الى 5 -  الدائري الشمالي - غرب - جانتري (2)</v>
      </c>
      <c r="F12" t="str">
        <f t="shared" si="1"/>
        <v>EX6TO5-W-2</v>
      </c>
      <c r="G12" t="str">
        <f t="shared" si="2"/>
        <v xml:space="preserve">24.771913, 46.672692  </v>
      </c>
      <c r="L12">
        <v>11</v>
      </c>
      <c r="M12" s="53" t="s">
        <v>517</v>
      </c>
      <c r="N12" s="54" t="s">
        <v>518</v>
      </c>
      <c r="O12" s="55" t="s">
        <v>519</v>
      </c>
      <c r="P12" t="s">
        <v>1</v>
      </c>
      <c r="Q12" s="238" t="s">
        <v>1755</v>
      </c>
    </row>
    <row r="13" spans="1:17" ht="36.75" customHeight="1">
      <c r="A13">
        <v>12</v>
      </c>
      <c r="B13" s="231" t="s">
        <v>68</v>
      </c>
      <c r="C13" s="294" t="s">
        <v>116</v>
      </c>
      <c r="E13" t="str">
        <f t="shared" si="0"/>
        <v>عمود طريق الخرج- شمال</v>
      </c>
      <c r="F13" t="str">
        <f t="shared" si="1"/>
        <v>KHARJ-RD-POLE-N</v>
      </c>
      <c r="G13" t="str">
        <f t="shared" si="2"/>
        <v>24.609172, 46.828383</v>
      </c>
      <c r="L13">
        <v>12</v>
      </c>
      <c r="M13" s="53" t="s">
        <v>520</v>
      </c>
      <c r="N13" s="54" t="s">
        <v>521</v>
      </c>
      <c r="O13" s="55" t="s">
        <v>522</v>
      </c>
      <c r="P13" t="s">
        <v>1</v>
      </c>
      <c r="Q13" s="238" t="s">
        <v>1756</v>
      </c>
    </row>
    <row r="14" spans="1:17" ht="36" customHeight="1">
      <c r="A14">
        <v>13</v>
      </c>
      <c r="B14" s="6" t="s">
        <v>71</v>
      </c>
      <c r="C14" s="296" t="s">
        <v>3</v>
      </c>
      <c r="E14" t="str">
        <f t="shared" si="0"/>
        <v>Not Found</v>
      </c>
      <c r="F14" t="str">
        <f t="shared" si="1"/>
        <v>Not Found</v>
      </c>
      <c r="G14" t="str">
        <f t="shared" si="2"/>
        <v>Not Found</v>
      </c>
      <c r="L14">
        <v>13</v>
      </c>
      <c r="M14" s="56" t="s">
        <v>523</v>
      </c>
      <c r="N14" s="54" t="s">
        <v>524</v>
      </c>
      <c r="O14" s="55" t="s">
        <v>525</v>
      </c>
      <c r="P14" t="s">
        <v>1</v>
      </c>
      <c r="Q14" s="238" t="s">
        <v>1757</v>
      </c>
    </row>
    <row r="15" spans="1:17" ht="36" customHeight="1">
      <c r="A15">
        <v>14</v>
      </c>
      <c r="B15" s="2" t="s">
        <v>71</v>
      </c>
      <c r="C15" s="297" t="s">
        <v>3</v>
      </c>
      <c r="E15" t="str">
        <f t="shared" si="0"/>
        <v>Not Found</v>
      </c>
      <c r="F15" t="str">
        <f t="shared" si="1"/>
        <v>Not Found</v>
      </c>
      <c r="G15" t="str">
        <f t="shared" si="2"/>
        <v>Not Found</v>
      </c>
      <c r="L15">
        <v>14</v>
      </c>
      <c r="M15" s="53" t="s">
        <v>526</v>
      </c>
      <c r="N15" s="54" t="s">
        <v>527</v>
      </c>
      <c r="O15" s="55" t="s">
        <v>114</v>
      </c>
      <c r="P15" t="s">
        <v>1</v>
      </c>
      <c r="Q15" s="239" t="s">
        <v>1758</v>
      </c>
    </row>
    <row r="16" spans="1:17" ht="36.75" customHeight="1">
      <c r="A16">
        <v>15</v>
      </c>
      <c r="B16" s="230" t="s">
        <v>68</v>
      </c>
      <c r="C16" s="294" t="s">
        <v>123</v>
      </c>
      <c r="E16" t="str">
        <f t="shared" si="0"/>
        <v>نفق طريق الامام سعود بن عبدالعزيز تقاطع طريق الملك فهد (دلة)</v>
      </c>
      <c r="F16" t="str">
        <f t="shared" si="1"/>
        <v>U101_DALLA_TN1</v>
      </c>
      <c r="G16" t="str">
        <f t="shared" si="2"/>
        <v>24.744480, 46.655083</v>
      </c>
      <c r="L16">
        <v>15</v>
      </c>
      <c r="M16" s="56" t="s">
        <v>528</v>
      </c>
      <c r="N16" s="54" t="s">
        <v>529</v>
      </c>
      <c r="O16" s="55" t="s">
        <v>177</v>
      </c>
      <c r="P16" t="s">
        <v>1</v>
      </c>
      <c r="Q16" s="238" t="s">
        <v>1759</v>
      </c>
    </row>
    <row r="17" spans="1:17" ht="36.75" customHeight="1">
      <c r="A17">
        <v>16</v>
      </c>
      <c r="B17" s="231" t="s">
        <v>68</v>
      </c>
      <c r="C17" s="294" t="s">
        <v>174</v>
      </c>
      <c r="E17" t="str">
        <f t="shared" si="0"/>
        <v>نفق طريق الملك عبدالله مع شارع مسعود الكرماني</v>
      </c>
      <c r="F17" t="str">
        <f t="shared" si="1"/>
        <v>U124_Abdullah_EW</v>
      </c>
      <c r="G17" t="str">
        <f t="shared" si="2"/>
        <v>24.762305,46.744499</v>
      </c>
      <c r="L17">
        <v>16</v>
      </c>
      <c r="M17" s="56" t="s">
        <v>530</v>
      </c>
      <c r="N17" s="54" t="s">
        <v>531</v>
      </c>
      <c r="O17" s="55" t="s">
        <v>115</v>
      </c>
      <c r="P17" t="s">
        <v>1</v>
      </c>
      <c r="Q17" s="238" t="s">
        <v>1760</v>
      </c>
    </row>
    <row r="18" spans="1:17" ht="36.75" customHeight="1">
      <c r="A18">
        <v>17</v>
      </c>
      <c r="B18" s="231" t="s">
        <v>68</v>
      </c>
      <c r="C18" s="294" t="s">
        <v>125</v>
      </c>
      <c r="E18" t="str">
        <f t="shared" si="0"/>
        <v>نفق طريق الامام سعود بن عبدالعزيز تقاطع طريق الملك فهد (دلة)</v>
      </c>
      <c r="F18" t="str">
        <f t="shared" si="1"/>
        <v>U101_DALLA_TN3</v>
      </c>
      <c r="G18" t="str">
        <f t="shared" si="2"/>
        <v>24.7444901, 46.6556093</v>
      </c>
      <c r="L18">
        <v>17</v>
      </c>
      <c r="M18" s="53" t="s">
        <v>532</v>
      </c>
      <c r="N18" s="54" t="s">
        <v>533</v>
      </c>
      <c r="O18" s="55" t="s">
        <v>534</v>
      </c>
      <c r="P18" t="s">
        <v>1</v>
      </c>
      <c r="Q18" s="238" t="s">
        <v>1761</v>
      </c>
    </row>
    <row r="19" spans="1:17" ht="36.75" customHeight="1">
      <c r="A19">
        <v>18</v>
      </c>
      <c r="B19" s="231" t="s">
        <v>68</v>
      </c>
      <c r="C19" s="6" t="s">
        <v>126</v>
      </c>
      <c r="E19" t="str">
        <f t="shared" si="0"/>
        <v>نفق طريق الامام سعود بن عبدالعزيز تقاطع طريق الملك فهد (دلة)</v>
      </c>
      <c r="F19" t="str">
        <f t="shared" si="1"/>
        <v>U101_DALLA_TN4</v>
      </c>
      <c r="G19" t="str">
        <f t="shared" si="2"/>
        <v xml:space="preserve">24.744531, 46.655755  </v>
      </c>
      <c r="L19">
        <v>18</v>
      </c>
      <c r="M19" s="57" t="s">
        <v>535</v>
      </c>
      <c r="N19" s="54" t="s">
        <v>536</v>
      </c>
      <c r="O19" s="58" t="s">
        <v>537</v>
      </c>
      <c r="P19" t="s">
        <v>1</v>
      </c>
      <c r="Q19" s="240" t="s">
        <v>1762</v>
      </c>
    </row>
    <row r="20" spans="1:17" ht="36.75" customHeight="1">
      <c r="A20">
        <v>19</v>
      </c>
      <c r="B20" s="231" t="s">
        <v>68</v>
      </c>
      <c r="C20" s="6" t="s">
        <v>108</v>
      </c>
      <c r="E20" t="str">
        <f t="shared" si="0"/>
        <v xml:space="preserve">نفق شارع ام الحمام تقاطع طريق مكة المكرمة   </v>
      </c>
      <c r="F20" t="str">
        <f t="shared" si="1"/>
        <v>Umhamam_Mak_TN1</v>
      </c>
      <c r="G20" t="str">
        <f t="shared" si="2"/>
        <v>24.675098, 46.656791</v>
      </c>
      <c r="L20">
        <v>19</v>
      </c>
      <c r="M20" s="56" t="s">
        <v>538</v>
      </c>
      <c r="N20" s="54" t="s">
        <v>539</v>
      </c>
      <c r="O20" s="55" t="s">
        <v>540</v>
      </c>
      <c r="P20" t="s">
        <v>1</v>
      </c>
      <c r="Q20" s="238" t="s">
        <v>1763</v>
      </c>
    </row>
    <row r="21" spans="1:17" ht="36.75" customHeight="1">
      <c r="A21">
        <v>20</v>
      </c>
      <c r="B21" s="231" t="s">
        <v>68</v>
      </c>
      <c r="C21" s="294" t="s">
        <v>109</v>
      </c>
      <c r="E21" t="str">
        <f t="shared" si="0"/>
        <v>عمود قبل شاشة طريق الدمام - غرب</v>
      </c>
      <c r="F21" t="str">
        <f t="shared" si="1"/>
        <v>DAMM-POLE-W</v>
      </c>
      <c r="G21" t="str">
        <f t="shared" si="2"/>
        <v>24.807581, 46.757192</v>
      </c>
      <c r="L21">
        <v>20</v>
      </c>
      <c r="M21" s="53" t="s">
        <v>541</v>
      </c>
      <c r="N21" s="54" t="s">
        <v>542</v>
      </c>
      <c r="O21" s="55" t="s">
        <v>543</v>
      </c>
      <c r="P21" t="s">
        <v>1</v>
      </c>
      <c r="Q21" s="238" t="s">
        <v>1764</v>
      </c>
    </row>
    <row r="22" spans="1:17" ht="36.75" customHeight="1">
      <c r="A22">
        <v>21</v>
      </c>
      <c r="B22" s="231" t="s">
        <v>68</v>
      </c>
      <c r="C22" s="294" t="s">
        <v>118</v>
      </c>
      <c r="E22" t="str">
        <f t="shared" si="0"/>
        <v>نفق طريق التخصصي تقاطع طريق العروبة(اليورمارشية)</v>
      </c>
      <c r="F22" t="str">
        <f t="shared" si="1"/>
        <v>Euromarche_TN_NS2</v>
      </c>
      <c r="G22" t="str">
        <f t="shared" si="2"/>
        <v>24.708204, 46.663535</v>
      </c>
      <c r="L22">
        <v>21</v>
      </c>
      <c r="M22" s="56" t="s">
        <v>544</v>
      </c>
      <c r="N22" s="54" t="s">
        <v>545</v>
      </c>
      <c r="O22" s="55" t="s">
        <v>546</v>
      </c>
      <c r="P22" t="s">
        <v>1</v>
      </c>
      <c r="Q22" s="238" t="s">
        <v>1765</v>
      </c>
    </row>
    <row r="23" spans="1:17" ht="15">
      <c r="A23">
        <v>22</v>
      </c>
      <c r="B23" s="231" t="s">
        <v>68</v>
      </c>
      <c r="C23" s="294" t="s">
        <v>117</v>
      </c>
      <c r="E23" t="str">
        <f t="shared" si="0"/>
        <v>عمود طريق مكة المكرمة -  التخصصي - غرب</v>
      </c>
      <c r="F23" t="str">
        <f t="shared" si="1"/>
        <v>MAK-TKHSOSI-POLE-W</v>
      </c>
      <c r="G23" t="str">
        <f t="shared" si="2"/>
        <v>24.676510, 46.682608</v>
      </c>
      <c r="L23">
        <v>22</v>
      </c>
      <c r="M23" s="56" t="s">
        <v>547</v>
      </c>
      <c r="N23" s="54" t="s">
        <v>548</v>
      </c>
      <c r="O23" s="55" t="s">
        <v>549</v>
      </c>
      <c r="P23" t="s">
        <v>1</v>
      </c>
      <c r="Q23" s="238" t="s">
        <v>1766</v>
      </c>
    </row>
    <row r="24" spans="1:17" ht="36" customHeight="1">
      <c r="A24">
        <v>23</v>
      </c>
      <c r="B24" s="231" t="s">
        <v>68</v>
      </c>
      <c r="C24" s="294" t="s">
        <v>176</v>
      </c>
      <c r="E24" t="str">
        <f t="shared" si="0"/>
        <v>مخرج 12 الى 13 - الدائري الشرقي  - جنوب</v>
      </c>
      <c r="F24" t="str">
        <f t="shared" si="1"/>
        <v>EX12TO13-S</v>
      </c>
      <c r="G24" t="str">
        <f t="shared" si="2"/>
        <v>24.704407, 46.768788</v>
      </c>
      <c r="L24">
        <v>23</v>
      </c>
      <c r="M24" s="56" t="s">
        <v>550</v>
      </c>
      <c r="N24" s="54" t="s">
        <v>551</v>
      </c>
      <c r="O24" s="55" t="s">
        <v>552</v>
      </c>
      <c r="P24" t="s">
        <v>1</v>
      </c>
      <c r="Q24" s="238" t="s">
        <v>1767</v>
      </c>
    </row>
    <row r="25" spans="1:17" ht="36" customHeight="1">
      <c r="A25">
        <v>24</v>
      </c>
      <c r="B25" s="226" t="s">
        <v>70</v>
      </c>
      <c r="C25" s="294" t="s">
        <v>42</v>
      </c>
      <c r="E25" t="str">
        <f>IFERROR(INDEX(M:M, MATCH(C25, P:P, 0)), "Not Found")</f>
        <v>نفق الصناعية -  إمتداد الطريق الدائري الشرقي أمام شركة توزيع الغاز الطبيعي</v>
      </c>
      <c r="F25" t="str">
        <f>IFERROR(INDEX(N:N, MATCH(C25, P:P, 0)), "Not Found")</f>
        <v>INDUST_TN_NS1</v>
      </c>
      <c r="G25" t="str">
        <f>IFERROR(INDEX(Q:Q, MATCH(C25, P:P, 0)), "Not Found")</f>
        <v>24.564537, 46.896057</v>
      </c>
      <c r="L25">
        <v>24</v>
      </c>
      <c r="M25" s="56" t="s">
        <v>553</v>
      </c>
      <c r="N25" s="54" t="s">
        <v>554</v>
      </c>
      <c r="O25" s="55" t="s">
        <v>555</v>
      </c>
      <c r="P25" t="s">
        <v>1</v>
      </c>
      <c r="Q25" s="238" t="s">
        <v>1768</v>
      </c>
    </row>
    <row r="26" spans="1:17" ht="36" customHeight="1">
      <c r="A26">
        <v>25</v>
      </c>
      <c r="B26" s="225" t="s">
        <v>70</v>
      </c>
      <c r="C26" s="294" t="s">
        <v>8</v>
      </c>
      <c r="E26" t="str">
        <f>IFERROR(INDEX(M:M, MATCH(C26, P:P, 0)), "Not Found")</f>
        <v>نفق طريق الملك فهد تقاطع طريق الامام سعود بن فيصل</v>
      </c>
      <c r="F26" t="str">
        <f>IFERROR(INDEX(N:N, MATCH(C26, P:P, 0)), "Not Found")</f>
        <v>Fahd_saud_TN1</v>
      </c>
      <c r="G26" t="str">
        <f>IFERROR(INDEX(Q:Q, MATCH(C26, P:P, 0)), "Not Found")</f>
        <v>24.793907, 46.630556</v>
      </c>
      <c r="L26">
        <v>25</v>
      </c>
      <c r="M26" s="53" t="s">
        <v>556</v>
      </c>
      <c r="N26" s="54" t="s">
        <v>557</v>
      </c>
      <c r="O26" s="55" t="s">
        <v>558</v>
      </c>
      <c r="P26" t="s">
        <v>1</v>
      </c>
      <c r="Q26" s="238" t="s">
        <v>1769</v>
      </c>
    </row>
    <row r="27" spans="1:17" ht="36.75" customHeight="1">
      <c r="A27">
        <v>26</v>
      </c>
      <c r="B27" s="230" t="s">
        <v>68</v>
      </c>
      <c r="C27" s="294" t="s">
        <v>121</v>
      </c>
      <c r="E27" t="str">
        <f t="shared" ref="E27:E37" si="3">IFERROR(INDEX(M:M, MATCH(C27, O:O, 0)), "Not Found")</f>
        <v>نفق طريق الملك فهد تقاطع طريق الملك سلمان</v>
      </c>
      <c r="F27" t="str">
        <f t="shared" ref="F27:F37" si="4">IFERROR(INDEX(N:N, MATCH(C27, O:O, 0)), "Not Found")</f>
        <v>Fahd_Salman_TN_N</v>
      </c>
      <c r="G27" t="str">
        <f t="shared" ref="G27:G33" si="5">IFERROR(INDEX(Q:Q, MATCH(C27, O:O, 0)), "Not Found")</f>
        <v>24.826447, 46.614377</v>
      </c>
      <c r="L27">
        <v>26</v>
      </c>
      <c r="M27" s="56" t="s">
        <v>559</v>
      </c>
      <c r="N27" s="54" t="s">
        <v>560</v>
      </c>
      <c r="O27" s="55" t="s">
        <v>119</v>
      </c>
      <c r="P27" t="s">
        <v>1</v>
      </c>
      <c r="Q27" s="238" t="s">
        <v>1770</v>
      </c>
    </row>
    <row r="28" spans="1:17" ht="36.75" customHeight="1">
      <c r="A28">
        <v>27</v>
      </c>
      <c r="B28" s="231" t="s">
        <v>68</v>
      </c>
      <c r="C28" s="294" t="s">
        <v>122</v>
      </c>
      <c r="E28" t="str">
        <f t="shared" si="3"/>
        <v>نفق بطريق مكة المكرمة بجوار وزارة الحرس الوطني</v>
      </c>
      <c r="F28" t="str">
        <f t="shared" si="4"/>
        <v>NGuard_TN_EW</v>
      </c>
      <c r="G28" t="str">
        <f t="shared" si="5"/>
        <v>24.710882, 46.755708</v>
      </c>
      <c r="L28">
        <v>27</v>
      </c>
      <c r="M28" s="53" t="s">
        <v>561</v>
      </c>
      <c r="N28" s="54" t="s">
        <v>562</v>
      </c>
      <c r="O28" s="55" t="s">
        <v>563</v>
      </c>
      <c r="P28" t="s">
        <v>1</v>
      </c>
      <c r="Q28" s="238" t="s">
        <v>1771</v>
      </c>
    </row>
    <row r="29" spans="1:17" ht="36.75" customHeight="1">
      <c r="A29">
        <v>28</v>
      </c>
      <c r="B29" s="231" t="s">
        <v>68</v>
      </c>
      <c r="C29" s="296" t="s">
        <v>104</v>
      </c>
      <c r="E29" t="str">
        <f t="shared" si="3"/>
        <v>Not Found</v>
      </c>
      <c r="F29" t="str">
        <f t="shared" si="4"/>
        <v>Not Found</v>
      </c>
      <c r="G29" t="str">
        <f t="shared" si="5"/>
        <v>Not Found</v>
      </c>
      <c r="L29">
        <v>28</v>
      </c>
      <c r="M29" s="53" t="s">
        <v>564</v>
      </c>
      <c r="N29" s="54" t="s">
        <v>565</v>
      </c>
      <c r="O29" s="55" t="s">
        <v>120</v>
      </c>
      <c r="P29" t="s">
        <v>1</v>
      </c>
      <c r="Q29" s="238" t="s">
        <v>1772</v>
      </c>
    </row>
    <row r="30" spans="1:17" ht="15">
      <c r="A30">
        <v>29</v>
      </c>
      <c r="B30" s="228" t="s">
        <v>69</v>
      </c>
      <c r="C30" s="296" t="s">
        <v>17</v>
      </c>
      <c r="E30" t="str">
        <f t="shared" si="3"/>
        <v>Not Found</v>
      </c>
      <c r="F30" t="str">
        <f t="shared" si="4"/>
        <v>Not Found</v>
      </c>
      <c r="G30" t="str">
        <f t="shared" si="5"/>
        <v>Not Found</v>
      </c>
      <c r="L30">
        <v>29</v>
      </c>
      <c r="M30" s="53" t="s">
        <v>566</v>
      </c>
      <c r="N30" s="54" t="s">
        <v>567</v>
      </c>
      <c r="O30" s="55" t="s">
        <v>109</v>
      </c>
      <c r="P30" t="s">
        <v>1</v>
      </c>
      <c r="Q30" s="238" t="s">
        <v>1773</v>
      </c>
    </row>
    <row r="31" spans="1:17" ht="36.75" customHeight="1">
      <c r="A31">
        <v>30</v>
      </c>
      <c r="B31" s="229" t="s">
        <v>69</v>
      </c>
      <c r="C31" s="296" t="s">
        <v>17</v>
      </c>
      <c r="E31" t="str">
        <f t="shared" si="3"/>
        <v>Not Found</v>
      </c>
      <c r="F31" t="str">
        <f t="shared" si="4"/>
        <v>Not Found</v>
      </c>
      <c r="G31" t="str">
        <f t="shared" si="5"/>
        <v>Not Found</v>
      </c>
      <c r="L31">
        <v>30</v>
      </c>
      <c r="M31" s="53" t="s">
        <v>568</v>
      </c>
      <c r="N31" s="54" t="s">
        <v>569</v>
      </c>
      <c r="O31" s="55" t="s">
        <v>570</v>
      </c>
      <c r="P31" t="s">
        <v>1</v>
      </c>
      <c r="Q31" s="238" t="s">
        <v>1774</v>
      </c>
    </row>
    <row r="32" spans="1:17" ht="36.75" customHeight="1">
      <c r="A32">
        <v>31</v>
      </c>
      <c r="B32" s="229" t="s">
        <v>69</v>
      </c>
      <c r="C32" s="296" t="s">
        <v>39</v>
      </c>
      <c r="E32" t="str">
        <f t="shared" si="3"/>
        <v>Not Found</v>
      </c>
      <c r="F32" t="str">
        <f t="shared" si="4"/>
        <v>Not Found</v>
      </c>
      <c r="G32" t="str">
        <f t="shared" si="5"/>
        <v>Not Found</v>
      </c>
      <c r="L32">
        <v>31</v>
      </c>
      <c r="M32" s="53" t="s">
        <v>571</v>
      </c>
      <c r="N32" s="54" t="s">
        <v>572</v>
      </c>
      <c r="O32" s="55" t="s">
        <v>573</v>
      </c>
      <c r="P32" t="s">
        <v>1</v>
      </c>
      <c r="Q32" s="238" t="s">
        <v>1775</v>
      </c>
    </row>
    <row r="33" spans="1:17" ht="36.75" customHeight="1">
      <c r="A33">
        <v>32</v>
      </c>
      <c r="B33" s="229" t="s">
        <v>69</v>
      </c>
      <c r="C33" s="296" t="s">
        <v>39</v>
      </c>
      <c r="E33" t="str">
        <f t="shared" si="3"/>
        <v>Not Found</v>
      </c>
      <c r="F33" t="str">
        <f t="shared" si="4"/>
        <v>Not Found</v>
      </c>
      <c r="G33" t="str">
        <f t="shared" si="5"/>
        <v>Not Found</v>
      </c>
      <c r="L33">
        <v>32</v>
      </c>
      <c r="M33" s="56" t="s">
        <v>574</v>
      </c>
      <c r="N33" s="54" t="s">
        <v>575</v>
      </c>
      <c r="O33" s="55" t="s">
        <v>576</v>
      </c>
      <c r="P33" t="s">
        <v>1</v>
      </c>
      <c r="Q33" s="238" t="s">
        <v>1776</v>
      </c>
    </row>
    <row r="34" spans="1:17" ht="73.5" customHeight="1">
      <c r="A34">
        <v>33</v>
      </c>
      <c r="B34" s="229" t="s">
        <v>69</v>
      </c>
      <c r="C34" s="294" t="s">
        <v>128</v>
      </c>
      <c r="E34" t="str">
        <f t="shared" si="3"/>
        <v>تقاطع طريق الإمام سعود مع طريق أبي بكر الصديق</v>
      </c>
      <c r="F34" t="str">
        <f t="shared" si="4"/>
        <v>U13-WE-1</v>
      </c>
      <c r="L34">
        <v>33</v>
      </c>
      <c r="M34" s="56" t="s">
        <v>577</v>
      </c>
      <c r="N34" s="54" t="s">
        <v>578</v>
      </c>
      <c r="O34" s="55" t="s">
        <v>139</v>
      </c>
      <c r="P34" t="s">
        <v>1</v>
      </c>
      <c r="Q34" s="238" t="s">
        <v>1777</v>
      </c>
    </row>
    <row r="35" spans="1:17" ht="36.75" customHeight="1">
      <c r="A35">
        <v>34</v>
      </c>
      <c r="B35" s="229" t="s">
        <v>69</v>
      </c>
      <c r="C35" s="224" t="s">
        <v>39</v>
      </c>
      <c r="E35" t="str">
        <f t="shared" si="3"/>
        <v>Not Found</v>
      </c>
      <c r="F35" t="str">
        <f t="shared" si="4"/>
        <v>Not Found</v>
      </c>
      <c r="G35" t="str">
        <f>IFERROR(INDEX(Q:Q, MATCH(C35, O:O, 0)), "Not Found")</f>
        <v>Not Found</v>
      </c>
      <c r="L35">
        <v>34</v>
      </c>
      <c r="M35" s="56" t="s">
        <v>579</v>
      </c>
      <c r="N35" s="54" t="s">
        <v>580</v>
      </c>
      <c r="O35" s="55" t="s">
        <v>581</v>
      </c>
      <c r="P35" t="s">
        <v>1</v>
      </c>
      <c r="Q35" s="238" t="s">
        <v>1778</v>
      </c>
    </row>
    <row r="36" spans="1:17" ht="36.75" customHeight="1">
      <c r="A36">
        <v>35</v>
      </c>
      <c r="B36" s="229" t="s">
        <v>69</v>
      </c>
      <c r="C36" s="296" t="s">
        <v>39</v>
      </c>
      <c r="E36" t="str">
        <f t="shared" si="3"/>
        <v>Not Found</v>
      </c>
      <c r="F36" t="str">
        <f t="shared" si="4"/>
        <v>Not Found</v>
      </c>
      <c r="G36" t="str">
        <f>IFERROR(INDEX(Q:Q, MATCH(C36, O:O, 0)), "Not Found")</f>
        <v>Not Found</v>
      </c>
      <c r="L36">
        <v>35</v>
      </c>
      <c r="M36" s="59" t="s">
        <v>582</v>
      </c>
      <c r="N36" s="54" t="s">
        <v>583</v>
      </c>
      <c r="O36" s="60" t="s">
        <v>584</v>
      </c>
      <c r="P36" t="s">
        <v>1</v>
      </c>
      <c r="Q36" s="241" t="s">
        <v>1779</v>
      </c>
    </row>
    <row r="37" spans="1:17" ht="36.75" customHeight="1">
      <c r="A37">
        <v>36</v>
      </c>
      <c r="B37" s="229" t="s">
        <v>69</v>
      </c>
      <c r="C37" s="294" t="s">
        <v>353</v>
      </c>
      <c r="E37" t="str">
        <f t="shared" si="3"/>
        <v>تقاطع طريق ديراب مع طريق المثنى بن حارثة</v>
      </c>
      <c r="F37" t="str">
        <f t="shared" si="4"/>
        <v>U14-NB</v>
      </c>
      <c r="G37" t="str">
        <f>IFERROR(INDEX(Q:Q, MATCH(C37, O:O, 0)), "Not Found")</f>
        <v>24.613861, 46.726861</v>
      </c>
      <c r="H37" t="str" cm="1">
        <f t="array" ref="H37">IF(AND(B37="الشاشة", ISNUMBER(MATCH(C37, _xlfn._xlws.FILTER(O:O, LEFT(O:O,3)="VMS32"), 0))), INDEX(M:M, MATCH(C37, O:O, 0)), "")</f>
        <v/>
      </c>
      <c r="L37">
        <v>36</v>
      </c>
      <c r="M37" s="61" t="s">
        <v>585</v>
      </c>
      <c r="N37" s="54" t="s">
        <v>586</v>
      </c>
      <c r="O37" s="62" t="s">
        <v>587</v>
      </c>
      <c r="P37" t="s">
        <v>1</v>
      </c>
      <c r="Q37" s="242" t="s">
        <v>1780</v>
      </c>
    </row>
    <row r="38" spans="1:17" ht="36.75" customHeight="1">
      <c r="A38">
        <v>37</v>
      </c>
      <c r="B38" s="225" t="s">
        <v>70</v>
      </c>
      <c r="C38" s="294" t="s">
        <v>26</v>
      </c>
      <c r="E38" t="str">
        <f>IFERROR(INDEX(M:M, MATCH(C38, P:P, 0)), "Not Found")</f>
        <v xml:space="preserve">نفق مخرج 24 طريق خريص تقاطع شارع الحسن بن علي </v>
      </c>
      <c r="F38" t="str">
        <f>IFERROR(INDEX(N:N, MATCH(C38, P:P, 0)), "Not Found")</f>
        <v>EX24_khu_WE3</v>
      </c>
      <c r="G38" t="str">
        <f>IFERROR(INDEX(Q:Q, MATCH(C38, P:P, 0)), "Not Found")</f>
        <v xml:space="preserve">24.720849, 46.772209  </v>
      </c>
      <c r="L38">
        <v>37</v>
      </c>
      <c r="M38" s="59" t="s">
        <v>588</v>
      </c>
      <c r="N38" s="54" t="s">
        <v>589</v>
      </c>
      <c r="O38" s="62" t="s">
        <v>176</v>
      </c>
      <c r="P38" t="s">
        <v>1</v>
      </c>
      <c r="Q38" s="243" t="s">
        <v>1781</v>
      </c>
    </row>
    <row r="39" spans="1:17" ht="15">
      <c r="A39">
        <v>38</v>
      </c>
      <c r="B39" s="229" t="s">
        <v>69</v>
      </c>
      <c r="C39" s="6" t="s">
        <v>399</v>
      </c>
      <c r="E39" t="str">
        <f>IFERROR(INDEX(M:M, MATCH(C39, O:O, 0)), "Not Found")</f>
        <v>طريق الملك فهد - الإمام سعود بن فيصل - جنوب</v>
      </c>
      <c r="F39" t="str">
        <f>IFERROR(INDEX(N:N, MATCH(C39, O:O, 0)), "Not Found")</f>
        <v>VMS KING FAHD SAUD FAISAL SB</v>
      </c>
      <c r="G39" t="str">
        <f>IFERROR(INDEX(Q:Q, MATCH(C39, O:O, 0)), "Not Found")</f>
        <v>24.754665°- 46.632595°</v>
      </c>
      <c r="L39">
        <v>38</v>
      </c>
      <c r="M39" s="59" t="s">
        <v>590</v>
      </c>
      <c r="N39" s="63" t="s">
        <v>591</v>
      </c>
      <c r="O39" s="60" t="s">
        <v>111</v>
      </c>
      <c r="P39" t="s">
        <v>1</v>
      </c>
      <c r="Q39" s="241" t="s">
        <v>1782</v>
      </c>
    </row>
    <row r="40" spans="1:17" ht="36.75" customHeight="1">
      <c r="A40">
        <v>39</v>
      </c>
      <c r="B40" s="229" t="s">
        <v>69</v>
      </c>
      <c r="C40" s="6" t="s">
        <v>485</v>
      </c>
      <c r="E40" t="str">
        <f>IFERROR(INDEX(M:M, MATCH(C40, O:O, 0)), "Not Found")</f>
        <v>طريق خريص - نفق اكاديمية الأمير نايف - غرب</v>
      </c>
      <c r="F40" t="str">
        <f>IFERROR(INDEX(N:N, MATCH(C40, O:O, 0)), "Not Found")</f>
        <v>VMS NAYEF WB</v>
      </c>
      <c r="G40" t="str">
        <f>IFERROR(INDEX(Q:Q, MATCH(C40, O:O, 0)), "Not Found")</f>
        <v>24.803989, 46.854944</v>
      </c>
      <c r="L40">
        <v>39</v>
      </c>
      <c r="M40" s="59" t="s">
        <v>592</v>
      </c>
      <c r="N40" s="63" t="s">
        <v>593</v>
      </c>
      <c r="O40" s="60" t="s">
        <v>594</v>
      </c>
      <c r="P40" t="s">
        <v>1</v>
      </c>
      <c r="Q40" s="241" t="s">
        <v>1783</v>
      </c>
    </row>
    <row r="41" spans="1:17" ht="36.75" customHeight="1">
      <c r="A41">
        <v>40</v>
      </c>
      <c r="B41" s="229" t="s">
        <v>69</v>
      </c>
      <c r="C41" s="6" t="s">
        <v>485</v>
      </c>
      <c r="E41" t="str">
        <f>IFERROR(INDEX(M:M, MATCH(C41, O:O, 0)), "Not Found")</f>
        <v>طريق خريص - نفق اكاديمية الأمير نايف - غرب</v>
      </c>
      <c r="F41" t="str">
        <f>IFERROR(INDEX(N:N, MATCH(C41, O:O, 0)), "Not Found")</f>
        <v>VMS NAYEF WB</v>
      </c>
      <c r="G41" t="str">
        <f>IFERROR(INDEX(Q:Q, MATCH(C41, O:O, 0)), "Not Found")</f>
        <v>24.803989, 46.854944</v>
      </c>
      <c r="L41">
        <v>40</v>
      </c>
      <c r="M41" s="59" t="s">
        <v>595</v>
      </c>
      <c r="N41" s="63" t="s">
        <v>596</v>
      </c>
      <c r="O41" s="60" t="s">
        <v>597</v>
      </c>
      <c r="P41" t="s">
        <v>1</v>
      </c>
      <c r="Q41" s="241" t="s">
        <v>1784</v>
      </c>
    </row>
    <row r="42" spans="1:17" ht="36" customHeight="1">
      <c r="A42">
        <v>41</v>
      </c>
      <c r="B42" s="229" t="s">
        <v>69</v>
      </c>
      <c r="C42" s="6" t="s">
        <v>425</v>
      </c>
      <c r="E42" t="str">
        <f>IFERROR(INDEX(M:M, MATCH(C42, O:O, 0)), "Not Found")</f>
        <v>طريق الخرج -المدخل الجنوبي</v>
      </c>
      <c r="F42" t="str">
        <f>IFERROR(INDEX(N:N, MATCH(C42, O:O, 0)), "Not Found")</f>
        <v>VMS KHARJ ROAD SB</v>
      </c>
      <c r="G42" t="str">
        <f>IFERROR(INDEX(Q:Q, MATCH(C42, O:O, 0)), "Not Found")</f>
        <v>24.684642, 46.702340</v>
      </c>
      <c r="L42">
        <v>41</v>
      </c>
      <c r="M42" s="59" t="s">
        <v>598</v>
      </c>
      <c r="N42" s="63" t="s">
        <v>599</v>
      </c>
      <c r="O42" s="60" t="s">
        <v>600</v>
      </c>
      <c r="P42" t="s">
        <v>1</v>
      </c>
      <c r="Q42" s="241" t="s">
        <v>1781</v>
      </c>
    </row>
    <row r="43" spans="1:17" ht="36" customHeight="1">
      <c r="A43">
        <v>42</v>
      </c>
      <c r="B43" s="225" t="s">
        <v>70</v>
      </c>
      <c r="C43" s="6" t="s">
        <v>15</v>
      </c>
      <c r="E43" t="str">
        <f>IFERROR(INDEX(M:M, MATCH(C43, P:P, 0)), "Not Found")</f>
        <v>نفق مخرج 15  تقاطع طريق الدائري الشرقي مع طريق صلاح الدين الأيوبي</v>
      </c>
      <c r="F43" t="str">
        <f>IFERROR(INDEX(N:N, MATCH(C43, P:P, 0)), "Not Found")</f>
        <v>EX15_TN_SN1</v>
      </c>
      <c r="G43" t="str">
        <f>IFERROR(INDEX(Q:Q, MATCH(C43, P:P, 0)), "Not Found")</f>
        <v>24.679366, 46.777790</v>
      </c>
      <c r="L43">
        <v>42</v>
      </c>
      <c r="M43" s="59" t="s">
        <v>601</v>
      </c>
      <c r="N43" s="64" t="s">
        <v>602</v>
      </c>
      <c r="O43" s="65" t="s">
        <v>603</v>
      </c>
      <c r="P43" t="s">
        <v>1</v>
      </c>
      <c r="Q43" s="241" t="s">
        <v>1733</v>
      </c>
    </row>
    <row r="44" spans="1:17" ht="36" customHeight="1">
      <c r="A44">
        <v>43</v>
      </c>
      <c r="B44" s="225" t="s">
        <v>70</v>
      </c>
      <c r="C44" s="6" t="s">
        <v>59</v>
      </c>
      <c r="E44" t="str">
        <f>IFERROR(INDEX(M:M, MATCH(C44, P:P, 0)), "Not Found")</f>
        <v>نفق طريق الامام سعود بن عبدالعزيز تقاطع طريق الملك فهد (دلة)</v>
      </c>
      <c r="F44" t="str">
        <f>IFERROR(INDEX(N:N, MATCH(C44, P:P, 0)), "Not Found")</f>
        <v>U101_DALLA_TN1</v>
      </c>
      <c r="G44" t="str">
        <f>IFERROR(INDEX(Q:Q, MATCH(C44, P:P, 0)), "Not Found")</f>
        <v>24.744480, 46.655083</v>
      </c>
      <c r="L44">
        <v>43</v>
      </c>
      <c r="M44" s="59" t="s">
        <v>604</v>
      </c>
      <c r="N44" s="66" t="s">
        <v>605</v>
      </c>
      <c r="O44" s="67" t="s">
        <v>606</v>
      </c>
      <c r="P44" t="s">
        <v>1</v>
      </c>
      <c r="Q44" s="241" t="s">
        <v>1732</v>
      </c>
    </row>
    <row r="45" spans="1:17" ht="36" customHeight="1">
      <c r="A45">
        <v>44</v>
      </c>
      <c r="B45" s="230" t="s">
        <v>68</v>
      </c>
      <c r="C45" s="6" t="s">
        <v>178</v>
      </c>
      <c r="E45" t="str">
        <f t="shared" ref="E45:E50" si="6">IFERROR(INDEX(M:M, MATCH(C45, O:O, 0)), "Not Found")</f>
        <v>نفق الإسكان - إمتداد الطريق الدائري الشرقي مع شارع السمح بن مالك</v>
      </c>
      <c r="F45" t="str">
        <f t="shared" ref="F45:F50" si="7">IFERROR(INDEX(N:N, MATCH(C45, O:O, 0)), "Not Found")</f>
        <v>Iskan1_TN_NS1</v>
      </c>
      <c r="G45" t="str">
        <f t="shared" ref="G45:G52" si="8">IFERROR(INDEX(Q:Q, MATCH(C45, O:O, 0)), "Not Found")</f>
        <v>24.589051, 46.855795</v>
      </c>
      <c r="L45">
        <v>44</v>
      </c>
      <c r="M45" s="59" t="s">
        <v>607</v>
      </c>
      <c r="N45" s="66" t="s">
        <v>608</v>
      </c>
      <c r="O45" s="67" t="s">
        <v>609</v>
      </c>
      <c r="P45" t="s">
        <v>1</v>
      </c>
      <c r="Q45" s="241" t="s">
        <v>1735</v>
      </c>
    </row>
    <row r="46" spans="1:17" ht="15">
      <c r="A46">
        <v>45</v>
      </c>
      <c r="B46" s="231" t="s">
        <v>68</v>
      </c>
      <c r="C46" s="6" t="s">
        <v>135</v>
      </c>
      <c r="E46" t="str">
        <f t="shared" si="6"/>
        <v xml:space="preserve">تقاطع شارع العليا مع شارع المعذرـــ وزارة الداخلية </v>
      </c>
      <c r="F46" t="str">
        <f t="shared" si="7"/>
        <v>U2-SN</v>
      </c>
      <c r="G46" t="str">
        <f t="shared" si="8"/>
        <v>24.670064, 46.698567</v>
      </c>
      <c r="L46">
        <v>45</v>
      </c>
      <c r="M46" s="59" t="s">
        <v>610</v>
      </c>
      <c r="N46" s="66" t="s">
        <v>611</v>
      </c>
      <c r="O46" s="67" t="s">
        <v>612</v>
      </c>
      <c r="P46" t="s">
        <v>1</v>
      </c>
      <c r="Q46" s="241" t="s">
        <v>1735</v>
      </c>
    </row>
    <row r="47" spans="1:17" ht="15">
      <c r="A47">
        <v>46</v>
      </c>
      <c r="B47" s="228" t="s">
        <v>69</v>
      </c>
      <c r="C47" s="6" t="s">
        <v>381</v>
      </c>
      <c r="E47" t="str">
        <f t="shared" si="6"/>
        <v>طريق الملك فهد - الثمامة الفرعي - جنوب</v>
      </c>
      <c r="F47" t="str">
        <f t="shared" si="7"/>
        <v>VMS KING FAHD THUMAMA SB</v>
      </c>
      <c r="G47" t="str">
        <f t="shared" si="8"/>
        <v xml:space="preserve"> 24.832736° -  46.628369°</v>
      </c>
      <c r="L47">
        <v>46</v>
      </c>
      <c r="M47" s="59" t="s">
        <v>613</v>
      </c>
      <c r="N47" s="63" t="s">
        <v>614</v>
      </c>
      <c r="O47" s="60" t="s">
        <v>615</v>
      </c>
      <c r="P47" t="s">
        <v>1</v>
      </c>
      <c r="Q47" s="241" t="s">
        <v>1785</v>
      </c>
    </row>
    <row r="48" spans="1:17" ht="15">
      <c r="A48">
        <v>47</v>
      </c>
      <c r="B48" s="229" t="s">
        <v>69</v>
      </c>
      <c r="C48" s="6" t="s">
        <v>399</v>
      </c>
      <c r="E48" t="str">
        <f t="shared" si="6"/>
        <v>طريق الملك فهد - الإمام سعود بن فيصل - جنوب</v>
      </c>
      <c r="F48" t="str">
        <f t="shared" si="7"/>
        <v>VMS KING FAHD SAUD FAISAL SB</v>
      </c>
      <c r="G48" t="str">
        <f t="shared" si="8"/>
        <v>24.754665°- 46.632595°</v>
      </c>
      <c r="L48">
        <v>47</v>
      </c>
      <c r="M48" s="59" t="s">
        <v>616</v>
      </c>
      <c r="N48" s="63" t="s">
        <v>617</v>
      </c>
      <c r="O48" s="60" t="s">
        <v>618</v>
      </c>
      <c r="P48" t="s">
        <v>1</v>
      </c>
      <c r="Q48" s="241" t="s">
        <v>1736</v>
      </c>
    </row>
    <row r="49" spans="1:17" ht="15">
      <c r="A49">
        <v>48</v>
      </c>
      <c r="B49" s="230" t="s">
        <v>68</v>
      </c>
      <c r="C49" s="6" t="s">
        <v>137</v>
      </c>
      <c r="E49" t="str">
        <f t="shared" si="6"/>
        <v>نفق مخرج 28 طريق خريص  تقاطع شارع عبدالرحمن بن عوف</v>
      </c>
      <c r="F49" t="str">
        <f t="shared" si="7"/>
        <v>EX28_khu_WE3</v>
      </c>
      <c r="G49" t="str">
        <f t="shared" si="8"/>
        <v>24.739539, 46.802320</v>
      </c>
      <c r="L49">
        <v>48</v>
      </c>
      <c r="M49" s="59" t="s">
        <v>619</v>
      </c>
      <c r="N49" s="63" t="s">
        <v>620</v>
      </c>
      <c r="O49" s="60" t="s">
        <v>621</v>
      </c>
      <c r="P49" t="s">
        <v>1</v>
      </c>
      <c r="Q49" s="241" t="s">
        <v>1786</v>
      </c>
    </row>
    <row r="50" spans="1:17" ht="15">
      <c r="A50">
        <v>49</v>
      </c>
      <c r="B50" s="231" t="s">
        <v>68</v>
      </c>
      <c r="C50" s="6" t="s">
        <v>160</v>
      </c>
      <c r="E50" t="str">
        <f t="shared" si="6"/>
        <v>نفق الصناعية -  إمتداد الطريق الدائري الشرقي أمام شركة توزيع الغاز الطبيعي</v>
      </c>
      <c r="F50" t="str">
        <f t="shared" si="7"/>
        <v>INDUST_TN_NS1</v>
      </c>
      <c r="G50" t="str">
        <f t="shared" si="8"/>
        <v>24.564537, 46.896057</v>
      </c>
      <c r="L50">
        <v>49</v>
      </c>
      <c r="M50" s="59" t="s">
        <v>622</v>
      </c>
      <c r="N50" s="63" t="s">
        <v>623</v>
      </c>
      <c r="O50" s="60" t="s">
        <v>110</v>
      </c>
      <c r="P50" t="s">
        <v>1</v>
      </c>
      <c r="Q50" s="241" t="s">
        <v>1787</v>
      </c>
    </row>
    <row r="51" spans="1:17" ht="15">
      <c r="A51">
        <v>50</v>
      </c>
      <c r="B51" s="226" t="s">
        <v>70</v>
      </c>
      <c r="C51" s="224" t="s">
        <v>20</v>
      </c>
      <c r="E51" t="str">
        <f>IFERROR(INDEX(M:M, MATCH(C51, P:P, 0)), "Not Found")</f>
        <v>Not Found</v>
      </c>
      <c r="F51" t="str">
        <f>IFERROR(INDEX(N:N, MATCH(C51, P:P, 0)), "Not Found")</f>
        <v>Not Found</v>
      </c>
      <c r="G51" t="str">
        <f t="shared" si="8"/>
        <v>Not Found</v>
      </c>
      <c r="L51">
        <v>50</v>
      </c>
      <c r="M51" s="59" t="s">
        <v>624</v>
      </c>
      <c r="N51" s="63" t="s">
        <v>625</v>
      </c>
      <c r="O51" s="60" t="s">
        <v>143</v>
      </c>
      <c r="P51" t="s">
        <v>1</v>
      </c>
      <c r="Q51" s="241" t="s">
        <v>1788</v>
      </c>
    </row>
    <row r="52" spans="1:17" ht="15">
      <c r="A52">
        <v>51</v>
      </c>
      <c r="B52" s="229" t="s">
        <v>69</v>
      </c>
      <c r="C52" s="6" t="s">
        <v>399</v>
      </c>
      <c r="E52" t="str">
        <f>IFERROR(INDEX(M:M, MATCH(C52, O:O, 0)), "Not Found")</f>
        <v>طريق الملك فهد - الإمام سعود بن فيصل - جنوب</v>
      </c>
      <c r="F52" t="str">
        <f>IFERROR(INDEX(N:N, MATCH(C52, O:O, 0)), "Not Found")</f>
        <v>VMS KING FAHD SAUD FAISAL SB</v>
      </c>
      <c r="G52" t="str">
        <f t="shared" si="8"/>
        <v>24.754665°- 46.632595°</v>
      </c>
      <c r="L52">
        <v>51</v>
      </c>
      <c r="M52" s="59" t="s">
        <v>626</v>
      </c>
      <c r="N52" s="63" t="s">
        <v>627</v>
      </c>
      <c r="O52" s="60" t="s">
        <v>628</v>
      </c>
      <c r="P52" t="s">
        <v>1</v>
      </c>
      <c r="Q52" s="241" t="s">
        <v>1789</v>
      </c>
    </row>
    <row r="53" spans="1:17" ht="15">
      <c r="A53">
        <v>52</v>
      </c>
      <c r="B53" s="225" t="s">
        <v>70</v>
      </c>
      <c r="C53" s="6" t="s">
        <v>22</v>
      </c>
      <c r="E53" t="str">
        <f>IFERROR(INDEX(M:M, MATCH(C53, P:P, 0)), "Not Found")</f>
        <v>نفق طريق الملك فهد تقاطع طريق مكة المكرمة</v>
      </c>
      <c r="F53" t="str">
        <f>IFERROR(INDEX(N:N, MATCH(C53, P:P, 0)), "Not Found")</f>
        <v>FAHD_MAK_TN_NS</v>
      </c>
      <c r="G53" t="str">
        <f>IFERROR(INDEX(Q:Q, MATCH(C53, P:P, 0)), "Not Found")</f>
        <v>24.678931, 46.688555</v>
      </c>
      <c r="L53">
        <v>52</v>
      </c>
      <c r="M53" s="59" t="s">
        <v>629</v>
      </c>
      <c r="N53" s="63" t="s">
        <v>630</v>
      </c>
      <c r="O53" s="60" t="s">
        <v>631</v>
      </c>
      <c r="P53" t="s">
        <v>1</v>
      </c>
      <c r="Q53" s="241" t="s">
        <v>1790</v>
      </c>
    </row>
    <row r="54" spans="1:17" ht="15">
      <c r="A54">
        <v>53</v>
      </c>
      <c r="B54" s="229" t="s">
        <v>69</v>
      </c>
      <c r="C54" s="6" t="s">
        <v>401</v>
      </c>
      <c r="E54" t="str">
        <f>IFERROR(INDEX(M:M, MATCH(C54, O:O, 0)), "Not Found")</f>
        <v>طريق الملك فهد  - الإمام سعود بن فيصل - شمال</v>
      </c>
      <c r="F54" t="str">
        <f>IFERROR(INDEX(N:N, MATCH(C54, O:O, 0)), "Not Found")</f>
        <v>VMS KING FAHD SAUD FAISAL NB</v>
      </c>
      <c r="G54" t="str">
        <f>IFERROR(INDEX(Q:Q, MATCH(C54, O:O, 0)), "Not Found")</f>
        <v>24.674992°, 46.673013°</v>
      </c>
      <c r="L54">
        <v>53</v>
      </c>
      <c r="M54" s="59" t="s">
        <v>632</v>
      </c>
      <c r="N54" s="63" t="s">
        <v>633</v>
      </c>
      <c r="O54" s="60" t="s">
        <v>634</v>
      </c>
      <c r="P54" t="s">
        <v>1</v>
      </c>
      <c r="Q54" s="241" t="s">
        <v>1791</v>
      </c>
    </row>
    <row r="55" spans="1:17" ht="15">
      <c r="A55">
        <v>54</v>
      </c>
      <c r="B55" s="230" t="s">
        <v>68</v>
      </c>
      <c r="C55" s="224" t="s">
        <v>104</v>
      </c>
      <c r="E55" t="str">
        <f>IFERROR(INDEX(M:M, MATCH(C55, O:O, 0)), "Not Found")</f>
        <v>Not Found</v>
      </c>
      <c r="F55" t="str">
        <f>IFERROR(INDEX(N:N, MATCH(C55, O:O, 0)), "Not Found")</f>
        <v>Not Found</v>
      </c>
      <c r="G55" t="str">
        <f>IFERROR(INDEX(Q:Q, MATCH(C55, O:O, 0)), "Not Found")</f>
        <v>Not Found</v>
      </c>
      <c r="L55">
        <v>54</v>
      </c>
      <c r="M55" s="59" t="s">
        <v>635</v>
      </c>
      <c r="N55" s="63" t="s">
        <v>636</v>
      </c>
      <c r="O55" s="60" t="s">
        <v>637</v>
      </c>
      <c r="P55" t="s">
        <v>1</v>
      </c>
      <c r="Q55" s="241" t="s">
        <v>1792</v>
      </c>
    </row>
    <row r="56" spans="1:17" ht="15">
      <c r="A56">
        <v>55</v>
      </c>
      <c r="B56" s="226" t="s">
        <v>70</v>
      </c>
      <c r="C56" s="6" t="s">
        <v>44</v>
      </c>
      <c r="E56" t="str">
        <f>IFERROR(INDEX(M:M, MATCH(C56, P:P, 0)), "Not Found")</f>
        <v>نفق  تقاطع الطريق الدائري الثاني مع شارع السلامه (خشم العان 4)</v>
      </c>
      <c r="F56" t="str">
        <f>IFERROR(INDEX(N:N, MATCH(C56, P:P, 0)), "Not Found")</f>
        <v>khashm4_u149A_1</v>
      </c>
      <c r="G56" t="str">
        <f>IFERROR(INDEX(Q:Q, MATCH(C56, P:P, 0)), "Not Found")</f>
        <v>46.855436‬‏, 24.743596</v>
      </c>
      <c r="L56">
        <v>55</v>
      </c>
      <c r="M56" s="61" t="s">
        <v>638</v>
      </c>
      <c r="N56" s="64" t="s">
        <v>639</v>
      </c>
      <c r="O56" s="65" t="s">
        <v>144</v>
      </c>
      <c r="P56" t="s">
        <v>1</v>
      </c>
      <c r="Q56" s="241" t="s">
        <v>1793</v>
      </c>
    </row>
    <row r="57" spans="1:17" ht="15">
      <c r="A57">
        <v>56</v>
      </c>
      <c r="B57" s="230" t="s">
        <v>68</v>
      </c>
      <c r="C57" s="224" t="s">
        <v>104</v>
      </c>
      <c r="E57" t="str">
        <f>IFERROR(INDEX(M:M, MATCH(C57, O:O, 0)), "Not Found")</f>
        <v>Not Found</v>
      </c>
      <c r="F57" t="str">
        <f>IFERROR(INDEX(N:N, MATCH(C57, O:O, 0)), "Not Found")</f>
        <v>Not Found</v>
      </c>
      <c r="G57" t="str">
        <f>IFERROR(INDEX(Q:Q, MATCH(C57, O:O, 0)), "Not Found")</f>
        <v>Not Found</v>
      </c>
      <c r="L57">
        <v>56</v>
      </c>
      <c r="M57" s="59" t="s">
        <v>640</v>
      </c>
      <c r="N57" s="63" t="s">
        <v>641</v>
      </c>
      <c r="O57" s="60" t="s">
        <v>642</v>
      </c>
      <c r="P57" t="s">
        <v>1</v>
      </c>
      <c r="Q57" s="241" t="s">
        <v>1794</v>
      </c>
    </row>
    <row r="58" spans="1:17" ht="15">
      <c r="A58">
        <v>57</v>
      </c>
      <c r="B58" s="6" t="s">
        <v>71</v>
      </c>
      <c r="C58" s="224" t="s">
        <v>47</v>
      </c>
      <c r="E58" t="str">
        <f>IFERROR(INDEX(M:M, MATCH(C58, O:O, 0)), "Not Found")</f>
        <v>Not Found</v>
      </c>
      <c r="F58" t="str">
        <f>IFERROR(INDEX(N:N, MATCH(C58, O:O, 0)), "Not Found")</f>
        <v>Not Found</v>
      </c>
      <c r="G58" t="str">
        <f>IFERROR(INDEX(Q:Q, MATCH(C58, O:O, 0)), "Not Found")</f>
        <v>Not Found</v>
      </c>
      <c r="L58">
        <v>57</v>
      </c>
      <c r="M58" s="59" t="s">
        <v>643</v>
      </c>
      <c r="N58" s="63" t="s">
        <v>644</v>
      </c>
      <c r="O58" s="60" t="s">
        <v>645</v>
      </c>
      <c r="P58" t="s">
        <v>1</v>
      </c>
      <c r="Q58" s="241" t="s">
        <v>1795</v>
      </c>
    </row>
    <row r="59" spans="1:17" ht="15">
      <c r="A59">
        <v>58</v>
      </c>
      <c r="B59" s="230" t="s">
        <v>68</v>
      </c>
      <c r="C59" s="6" t="s">
        <v>138</v>
      </c>
      <c r="E59" t="str">
        <f>IFERROR(INDEX(M:M, MATCH(C59, O:O, 0)), "Not Found")</f>
        <v xml:space="preserve">نفق مخرج 24 طريق خريص تقاطع شارع الحسن بن علي </v>
      </c>
      <c r="F59" t="str">
        <f>IFERROR(INDEX(N:N, MATCH(C59, O:O, 0)), "Not Found")</f>
        <v>EX24_khu_WE3</v>
      </c>
      <c r="G59" t="str">
        <f>IFERROR(INDEX(Q:Q, MATCH(C59, O:O, 0)), "Not Found")</f>
        <v xml:space="preserve">24.720849, 46.772209  </v>
      </c>
      <c r="L59">
        <v>58</v>
      </c>
      <c r="M59" s="59" t="s">
        <v>646</v>
      </c>
      <c r="N59" s="63" t="s">
        <v>647</v>
      </c>
      <c r="O59" s="60" t="s">
        <v>116</v>
      </c>
      <c r="P59" t="s">
        <v>1</v>
      </c>
      <c r="Q59" s="241" t="s">
        <v>1796</v>
      </c>
    </row>
    <row r="60" spans="1:17" ht="15">
      <c r="A60">
        <v>59</v>
      </c>
      <c r="B60" s="226" t="s">
        <v>70</v>
      </c>
      <c r="C60" s="291" t="s">
        <v>27</v>
      </c>
      <c r="E60" t="str">
        <f>IFERROR(INDEX(M:M, MATCH(C60, P:P, 0)), "Not Found")</f>
        <v>نفق طريق الملك فهد تقاطع طريق الملك سلمان</v>
      </c>
      <c r="F60" t="str">
        <f>IFERROR(INDEX(N:N, MATCH(C60,P:P, 0)), "Not Found")</f>
        <v>Fahd_Salman_TN_N</v>
      </c>
      <c r="G60" t="str">
        <f>IFERROR(INDEX(Q:Q, MATCH(C60, P:P, 0)), "Not Found")</f>
        <v>24.826447, 46.614377</v>
      </c>
      <c r="L60">
        <v>59</v>
      </c>
      <c r="M60" s="59" t="s">
        <v>648</v>
      </c>
      <c r="N60" s="63" t="s">
        <v>649</v>
      </c>
      <c r="O60" s="60" t="s">
        <v>650</v>
      </c>
      <c r="P60" t="s">
        <v>1</v>
      </c>
      <c r="Q60" s="241" t="s">
        <v>1797</v>
      </c>
    </row>
    <row r="61" spans="1:17" ht="15">
      <c r="A61">
        <v>60</v>
      </c>
      <c r="B61" s="225" t="s">
        <v>70</v>
      </c>
      <c r="C61" s="291" t="s">
        <v>29</v>
      </c>
      <c r="E61" t="str">
        <f>IFERROR(INDEX(M:M, MATCH(C61, P:P, 0)), "Not Found")</f>
        <v xml:space="preserve">نفق مخرج 26 طريق خريص تقاطع شارع خالد بن الوليد </v>
      </c>
      <c r="F61" t="str">
        <f>IFERROR(INDEX(N:N, MATCH(C61,P:P, 0)), "Not Found")</f>
        <v>EX26_khu_WE1</v>
      </c>
      <c r="G61" t="str">
        <f>IFERROR(INDEX(Q:Q, MATCH(C61, P:P, 0)), "Not Found")</f>
        <v>24.729960, 46.786780</v>
      </c>
      <c r="L61">
        <v>60</v>
      </c>
      <c r="M61" s="59" t="s">
        <v>651</v>
      </c>
      <c r="N61" s="63" t="s">
        <v>652</v>
      </c>
      <c r="O61" s="60" t="s">
        <v>653</v>
      </c>
      <c r="P61" t="s">
        <v>1</v>
      </c>
      <c r="Q61" s="241" t="s">
        <v>1798</v>
      </c>
    </row>
    <row r="62" spans="1:17" ht="15">
      <c r="A62">
        <v>61</v>
      </c>
      <c r="B62" s="230" t="s">
        <v>68</v>
      </c>
      <c r="C62" s="224" t="s">
        <v>104</v>
      </c>
      <c r="E62" t="str">
        <f t="shared" ref="E62:E69" si="9">IFERROR(INDEX(M:M, MATCH(C62, O:O, 0)), "Not Found")</f>
        <v>Not Found</v>
      </c>
      <c r="F62" t="str">
        <f t="shared" ref="F62:F69" si="10">IFERROR(INDEX(N:N, MATCH(C62, O:O, 0)), "Not Found")</f>
        <v>Not Found</v>
      </c>
      <c r="G62" t="str">
        <f t="shared" ref="G62:G69" si="11">IFERROR(INDEX(Q:Q, MATCH(C62, O:O, 0)), "Not Found")</f>
        <v>Not Found</v>
      </c>
      <c r="L62">
        <v>61</v>
      </c>
      <c r="M62" s="59" t="s">
        <v>654</v>
      </c>
      <c r="N62" s="63" t="s">
        <v>655</v>
      </c>
      <c r="O62" s="60" t="s">
        <v>106</v>
      </c>
      <c r="P62" t="s">
        <v>1</v>
      </c>
      <c r="Q62" s="241" t="s">
        <v>1799</v>
      </c>
    </row>
    <row r="63" spans="1:17" ht="15">
      <c r="A63">
        <v>62</v>
      </c>
      <c r="B63" s="231" t="s">
        <v>68</v>
      </c>
      <c r="C63" s="6" t="s">
        <v>1446</v>
      </c>
      <c r="E63" t="str">
        <f t="shared" si="9"/>
        <v>نفق تقاطع طريق صلاح الدين مع النايقة</v>
      </c>
      <c r="F63" t="str">
        <f t="shared" si="10"/>
        <v>SALAHDIN_TN_1</v>
      </c>
      <c r="G63" t="str">
        <f t="shared" si="11"/>
        <v>24.678066, 46.772648</v>
      </c>
      <c r="L63">
        <v>62</v>
      </c>
      <c r="M63" s="68" t="s">
        <v>656</v>
      </c>
      <c r="N63" s="63" t="s">
        <v>657</v>
      </c>
      <c r="O63" s="60" t="s">
        <v>658</v>
      </c>
      <c r="P63" t="s">
        <v>1</v>
      </c>
      <c r="Q63" s="241" t="s">
        <v>1729</v>
      </c>
    </row>
    <row r="64" spans="1:17" ht="15">
      <c r="A64">
        <v>63</v>
      </c>
      <c r="B64" s="6" t="s">
        <v>71</v>
      </c>
      <c r="C64" s="224" t="s">
        <v>32</v>
      </c>
      <c r="E64" t="str">
        <f t="shared" si="9"/>
        <v>Not Found</v>
      </c>
      <c r="F64" t="str">
        <f t="shared" si="10"/>
        <v>Not Found</v>
      </c>
      <c r="G64" t="str">
        <f t="shared" si="11"/>
        <v>Not Found</v>
      </c>
      <c r="L64">
        <v>63</v>
      </c>
      <c r="M64" s="56" t="s">
        <v>659</v>
      </c>
      <c r="N64" s="54" t="s">
        <v>660</v>
      </c>
      <c r="O64" s="60" t="s">
        <v>661</v>
      </c>
      <c r="P64" t="s">
        <v>1</v>
      </c>
      <c r="Q64" s="238" t="s">
        <v>1800</v>
      </c>
    </row>
    <row r="65" spans="1:17" ht="15">
      <c r="A65">
        <v>64</v>
      </c>
      <c r="B65" s="230" t="s">
        <v>68</v>
      </c>
      <c r="C65" s="6" t="s">
        <v>176</v>
      </c>
      <c r="E65" t="str">
        <f t="shared" si="9"/>
        <v>مخرج 12 الى 13 - الدائري الشرقي  - جنوب</v>
      </c>
      <c r="F65" t="str">
        <f t="shared" si="10"/>
        <v>EX12TO13-S</v>
      </c>
      <c r="G65" t="str">
        <f t="shared" si="11"/>
        <v>24.704407, 46.768788</v>
      </c>
      <c r="L65">
        <v>64</v>
      </c>
      <c r="M65" s="56" t="s">
        <v>662</v>
      </c>
      <c r="N65" s="54" t="s">
        <v>663</v>
      </c>
      <c r="O65" s="60" t="s">
        <v>664</v>
      </c>
      <c r="P65" t="s">
        <v>1</v>
      </c>
      <c r="Q65" s="238" t="s">
        <v>1801</v>
      </c>
    </row>
    <row r="66" spans="1:17" ht="15">
      <c r="A66">
        <v>65</v>
      </c>
      <c r="B66" s="231" t="s">
        <v>68</v>
      </c>
      <c r="C66" s="6" t="s">
        <v>171</v>
      </c>
      <c r="E66" t="str">
        <f t="shared" si="9"/>
        <v>نفق مخرج 15  تقاطع طريق الدائري الشرقي مع طريق صلاح الدين الأيوبي</v>
      </c>
      <c r="F66" t="str">
        <f t="shared" si="10"/>
        <v>EX15_TN_SN1</v>
      </c>
      <c r="G66" t="str">
        <f t="shared" si="11"/>
        <v>24.679366, 46.777790</v>
      </c>
      <c r="L66">
        <v>65</v>
      </c>
      <c r="M66" s="56" t="s">
        <v>665</v>
      </c>
      <c r="N66" s="54" t="s">
        <v>666</v>
      </c>
      <c r="O66" s="60" t="s">
        <v>667</v>
      </c>
      <c r="P66" t="s">
        <v>1</v>
      </c>
      <c r="Q66" s="238" t="s">
        <v>1802</v>
      </c>
    </row>
    <row r="67" spans="1:17" ht="15">
      <c r="A67">
        <v>66</v>
      </c>
      <c r="B67" s="228" t="s">
        <v>69</v>
      </c>
      <c r="C67" s="6" t="s">
        <v>475</v>
      </c>
      <c r="E67" t="str">
        <f t="shared" si="9"/>
        <v>طريق جدة  مدخل الرياض - إتجاه الرياض</v>
      </c>
      <c r="F67" t="str">
        <f t="shared" si="10"/>
        <v>VMS JEDDAH ROAD</v>
      </c>
      <c r="G67" t="str">
        <f t="shared" si="11"/>
        <v>24.620331, 46.574278</v>
      </c>
      <c r="L67">
        <v>66</v>
      </c>
      <c r="M67" s="56" t="s">
        <v>668</v>
      </c>
      <c r="N67" s="54" t="s">
        <v>669</v>
      </c>
      <c r="O67" s="60" t="s">
        <v>670</v>
      </c>
      <c r="P67" t="s">
        <v>1</v>
      </c>
      <c r="Q67" s="238" t="s">
        <v>1803</v>
      </c>
    </row>
    <row r="68" spans="1:17" ht="15">
      <c r="A68">
        <v>67</v>
      </c>
      <c r="B68" s="229" t="s">
        <v>69</v>
      </c>
      <c r="C68" s="6" t="s">
        <v>439</v>
      </c>
      <c r="E68" t="str">
        <f t="shared" si="9"/>
        <v>الدائري الشرقي - مخرج 14 - جنوب</v>
      </c>
      <c r="F68" t="str">
        <f t="shared" si="10"/>
        <v>VMS EXIT 14 SB</v>
      </c>
      <c r="G68" t="str">
        <f t="shared" si="11"/>
        <v>24.671426° -  46.780755°</v>
      </c>
      <c r="L68">
        <v>67</v>
      </c>
      <c r="M68" s="56" t="s">
        <v>671</v>
      </c>
      <c r="N68" s="54" t="s">
        <v>672</v>
      </c>
      <c r="O68" s="60" t="s">
        <v>673</v>
      </c>
      <c r="P68" t="s">
        <v>1</v>
      </c>
      <c r="Q68" s="238" t="s">
        <v>1804</v>
      </c>
    </row>
    <row r="69" spans="1:17" ht="15">
      <c r="A69">
        <v>68</v>
      </c>
      <c r="B69" s="229" t="s">
        <v>69</v>
      </c>
      <c r="C69" s="6" t="s">
        <v>450</v>
      </c>
      <c r="E69" t="str">
        <f t="shared" si="9"/>
        <v>مخرج 19 - الطريق الدائري الجنوبي - غرب</v>
      </c>
      <c r="F69" t="str">
        <f t="shared" si="10"/>
        <v>VMS EXIT 19 SB</v>
      </c>
      <c r="G69" t="str">
        <f t="shared" si="11"/>
        <v>24.706469, 46.748997</v>
      </c>
      <c r="L69">
        <v>68</v>
      </c>
      <c r="M69" s="69" t="s">
        <v>674</v>
      </c>
      <c r="N69" s="70" t="s">
        <v>675</v>
      </c>
      <c r="O69" s="60" t="s">
        <v>151</v>
      </c>
      <c r="P69" t="s">
        <v>1</v>
      </c>
      <c r="Q69" s="244" t="s">
        <v>1805</v>
      </c>
    </row>
    <row r="70" spans="1:17" ht="15">
      <c r="A70">
        <v>69</v>
      </c>
      <c r="B70" s="225" t="s">
        <v>70</v>
      </c>
      <c r="C70" s="6" t="s">
        <v>33</v>
      </c>
      <c r="E70" t="str">
        <f>IFERROR(INDEX(M:M, MATCH(C70, P:P, 0)), "Not Found")</f>
        <v>نفق طريق التخصصي تقاطع طريق الامام سعود (سباتكو)</v>
      </c>
      <c r="F70" t="str">
        <f>IFERROR(INDEX(N:N, MATCH(C70, P:P, 0)), "Not Found")</f>
        <v>SAPTCO_TN_NS2</v>
      </c>
      <c r="G70" t="str">
        <f>IFERROR(INDEX(Q:Q, MATCH(C70, P:P, 0)), "Not Found")</f>
        <v>24.740012, 46.645672</v>
      </c>
      <c r="L70">
        <v>69</v>
      </c>
      <c r="M70" s="71" t="s">
        <v>676</v>
      </c>
      <c r="N70" s="70" t="s">
        <v>677</v>
      </c>
      <c r="O70" s="60" t="s">
        <v>678</v>
      </c>
      <c r="P70" t="s">
        <v>1</v>
      </c>
      <c r="Q70" s="244" t="s">
        <v>1806</v>
      </c>
    </row>
    <row r="71" spans="1:17" ht="15.75" thickBot="1">
      <c r="A71">
        <v>70</v>
      </c>
      <c r="B71" s="229" t="s">
        <v>69</v>
      </c>
      <c r="C71" s="6" t="s">
        <v>455</v>
      </c>
      <c r="E71" t="str">
        <f>IFERROR(INDEX(M:M, MATCH(C71, O:O, 0)), "Not Found")</f>
        <v>مخرج 24 طريق خريص - غرب</v>
      </c>
      <c r="F71" t="str">
        <f>IFERROR(INDEX(N:N, MATCH(C71, O:O, 0)), "Not Found")</f>
        <v>VMS EXIT 24 KHURAIS WB</v>
      </c>
      <c r="G71" t="str">
        <f>IFERROR(INDEX(Q:Q, MATCH(C71, O:O, 0)), "Not Found")</f>
        <v>24.685004, 46.776490</v>
      </c>
      <c r="L71">
        <v>70</v>
      </c>
      <c r="M71" s="72" t="s">
        <v>679</v>
      </c>
      <c r="N71" s="73" t="s">
        <v>680</v>
      </c>
      <c r="O71" s="74" t="s">
        <v>117</v>
      </c>
      <c r="P71" t="s">
        <v>1</v>
      </c>
      <c r="Q71" s="245" t="s">
        <v>1807</v>
      </c>
    </row>
    <row r="72" spans="1:17" ht="20.25">
      <c r="A72">
        <v>71</v>
      </c>
      <c r="B72" s="230" t="s">
        <v>68</v>
      </c>
      <c r="C72" s="224" t="s">
        <v>104</v>
      </c>
      <c r="E72" t="str">
        <f>IFERROR(INDEX(M:M, MATCH(C72, O:O, 0)), "Not Found")</f>
        <v>Not Found</v>
      </c>
      <c r="F72" t="str">
        <f>IFERROR(INDEX(N:N, MATCH(C72, O:O, 0)), "Not Found")</f>
        <v>Not Found</v>
      </c>
      <c r="G72" t="str">
        <f>IFERROR(INDEX(Q:Q, MATCH(C72, O:O, 0)), "Not Found")</f>
        <v>Not Found</v>
      </c>
      <c r="L72">
        <v>71</v>
      </c>
      <c r="M72" s="75" t="s">
        <v>74</v>
      </c>
      <c r="N72" s="76" t="s">
        <v>681</v>
      </c>
      <c r="O72" s="77" t="s">
        <v>157</v>
      </c>
      <c r="P72" s="78" t="s">
        <v>51</v>
      </c>
      <c r="Q72" s="247" t="s">
        <v>1808</v>
      </c>
    </row>
    <row r="73" spans="1:17" ht="20.25">
      <c r="A73">
        <v>72</v>
      </c>
      <c r="B73" s="231" t="s">
        <v>68</v>
      </c>
      <c r="C73" s="6" t="s">
        <v>139</v>
      </c>
      <c r="E73" t="str">
        <f>IFERROR(INDEX(M:M, MATCH(C73, O:O, 0)), "Not Found")</f>
        <v xml:space="preserve">مخرج 9 - الدائري الشرقي - جنوب </v>
      </c>
      <c r="F73" t="str">
        <f>IFERROR(INDEX(N:N, MATCH(C73, O:O, 0)), "Not Found")</f>
        <v>EXIT9-S</v>
      </c>
      <c r="G73" t="str">
        <f>IFERROR(INDEX(Q:Q, MATCH(C73, O:O, 0)), "Not Found")</f>
        <v xml:space="preserve">24.779139, 46.728773  </v>
      </c>
      <c r="L73">
        <v>72</v>
      </c>
      <c r="M73" s="79" t="s">
        <v>74</v>
      </c>
      <c r="N73" s="80" t="s">
        <v>682</v>
      </c>
      <c r="O73" s="81" t="s">
        <v>683</v>
      </c>
      <c r="P73" s="82" t="s">
        <v>51</v>
      </c>
      <c r="Q73" s="248" t="s">
        <v>1809</v>
      </c>
    </row>
    <row r="74" spans="1:17" ht="36">
      <c r="A74">
        <v>73</v>
      </c>
      <c r="B74" s="228" t="s">
        <v>69</v>
      </c>
      <c r="C74" s="6" t="s">
        <v>473</v>
      </c>
      <c r="E74" t="str">
        <f>IFERROR(INDEX(M:M, MATCH(C74, O:O, 0)), "Not Found")</f>
        <v xml:space="preserve"> طريق مكة المكرمة - ميدان القاهرة - شرق</v>
      </c>
      <c r="F74" t="str">
        <f>IFERROR(INDEX(N:N, MATCH(C74, O:O, 0)), "Not Found")</f>
        <v>VMS CAIRO EB</v>
      </c>
      <c r="G74" t="str">
        <f>IFERROR(INDEX(Q:Q, MATCH(C74, O:O, 0)), "Not Found")</f>
        <v>24.679229, 46.687872</v>
      </c>
      <c r="L74">
        <v>73</v>
      </c>
      <c r="M74" s="79" t="s">
        <v>74</v>
      </c>
      <c r="N74" s="80" t="s">
        <v>684</v>
      </c>
      <c r="O74" s="81" t="s">
        <v>685</v>
      </c>
      <c r="P74" s="82" t="s">
        <v>51</v>
      </c>
      <c r="Q74" s="248" t="s">
        <v>1810</v>
      </c>
    </row>
    <row r="75" spans="1:17" ht="20.25">
      <c r="A75">
        <v>74</v>
      </c>
      <c r="B75" s="229" t="s">
        <v>69</v>
      </c>
      <c r="C75" s="6" t="s">
        <v>473</v>
      </c>
      <c r="E75" t="str">
        <f>IFERROR(INDEX(M:M, MATCH(C75, O:O, 0)), "Not Found")</f>
        <v xml:space="preserve"> طريق مكة المكرمة - ميدان القاهرة - شرق</v>
      </c>
      <c r="F75" t="str">
        <f>IFERROR(INDEX(N:N, MATCH(C75, O:O, 0)), "Not Found")</f>
        <v>VMS CAIRO EB</v>
      </c>
      <c r="G75" t="str">
        <f>IFERROR(INDEX(Q:Q, MATCH(C75, O:O, 0)), "Not Found")</f>
        <v>24.679229, 46.687872</v>
      </c>
      <c r="L75">
        <v>74</v>
      </c>
      <c r="M75" s="79" t="s">
        <v>74</v>
      </c>
      <c r="N75" s="80" t="s">
        <v>686</v>
      </c>
      <c r="O75" s="81" t="s">
        <v>687</v>
      </c>
      <c r="P75" s="82" t="s">
        <v>51</v>
      </c>
      <c r="Q75" s="248" t="s">
        <v>1811</v>
      </c>
    </row>
    <row r="76" spans="1:17" ht="21" thickBot="1">
      <c r="A76">
        <v>75</v>
      </c>
      <c r="B76" s="225" t="s">
        <v>70</v>
      </c>
      <c r="C76" s="6" t="s">
        <v>35</v>
      </c>
      <c r="E76" t="str">
        <f>IFERROR(INDEX(M:M, MATCH(C76, P:P, 0)), "Not Found")</f>
        <v>نفق مخرج 16 طريق الدائري الشرقي تقاطع طريق عمر بن الخطاب</v>
      </c>
      <c r="F76" t="str">
        <f>IFERROR(INDEX(N:N, MATCH(C76, P:P, 0)), "Not Found")</f>
        <v>EXIT16_TN_1</v>
      </c>
      <c r="G76" t="str">
        <f>IFERROR(INDEX(Q:Q, MATCH(C76, P:P, 0)), "Not Found")</f>
        <v>24.666791, 46.784996</v>
      </c>
      <c r="L76">
        <v>75</v>
      </c>
      <c r="M76" s="83" t="s">
        <v>74</v>
      </c>
      <c r="N76" s="84" t="s">
        <v>688</v>
      </c>
      <c r="O76" s="85" t="s">
        <v>689</v>
      </c>
      <c r="P76" s="86" t="s">
        <v>51</v>
      </c>
      <c r="Q76" s="249" t="s">
        <v>1812</v>
      </c>
    </row>
    <row r="77" spans="1:17" ht="20.25">
      <c r="A77">
        <v>76</v>
      </c>
      <c r="B77" s="229" t="s">
        <v>69</v>
      </c>
      <c r="C77" s="6" t="s">
        <v>362</v>
      </c>
      <c r="E77" t="str">
        <f>IFERROR(INDEX(M:M, MATCH(C77, O:O, 0)), "Not Found")</f>
        <v>تقاطع طريق الامام سعود بن عبد العزيز مع الدائري الشرقي (غرب)</v>
      </c>
      <c r="F77" t="str">
        <f>IFERROR(INDEX(N:N, MATCH(C77, O:O, 0)), "Not Found")</f>
        <v>U19-EB1</v>
      </c>
      <c r="G77" t="str">
        <f>IFERROR(INDEX(Q:Q, MATCH(C77, O:O, 0)), "Not Found")</f>
        <v>24.541722, 46.662333</v>
      </c>
      <c r="L77">
        <v>76</v>
      </c>
      <c r="M77" s="75" t="s">
        <v>690</v>
      </c>
      <c r="N77" s="76" t="s">
        <v>691</v>
      </c>
      <c r="O77" s="77" t="s">
        <v>135</v>
      </c>
      <c r="P77" s="78" t="s">
        <v>16</v>
      </c>
      <c r="Q77" s="250" t="s">
        <v>1813</v>
      </c>
    </row>
    <row r="78" spans="1:17" ht="20.25">
      <c r="A78">
        <v>77</v>
      </c>
      <c r="B78" s="230" t="s">
        <v>68</v>
      </c>
      <c r="C78" s="6" t="s">
        <v>156</v>
      </c>
      <c r="E78" t="str">
        <f>IFERROR(INDEX(M:M, MATCH(C78, O:O, 0)), "Not Found")</f>
        <v>تقاطع طريق الملك عبد العزيز مع شارع الجامعة (جسر الوشم)</v>
      </c>
      <c r="F78" t="str">
        <f>IFERROR(INDEX(N:N, MATCH(C78, O:O, 0)), "Not Found")</f>
        <v>C16-WSHM_WE2</v>
      </c>
      <c r="G78" t="str">
        <f>IFERROR(INDEX(Q:Q, MATCH(C78, O:O, 0)), "Not Found")</f>
        <v>24.653704,46.715367</v>
      </c>
      <c r="L78">
        <v>77</v>
      </c>
      <c r="M78" s="79" t="s">
        <v>690</v>
      </c>
      <c r="N78" s="80" t="s">
        <v>692</v>
      </c>
      <c r="O78" s="81" t="s">
        <v>693</v>
      </c>
      <c r="P78" s="82" t="s">
        <v>16</v>
      </c>
      <c r="Q78" s="248" t="s">
        <v>1814</v>
      </c>
    </row>
    <row r="79" spans="1:17" ht="20.25">
      <c r="A79">
        <v>78</v>
      </c>
      <c r="B79" s="226" t="s">
        <v>70</v>
      </c>
      <c r="C79" s="233" t="s">
        <v>2236</v>
      </c>
      <c r="E79" t="str">
        <f>IFERROR(INDEX(M:M, MATCH(C79, P:P, 0)), "Not Found")</f>
        <v xml:space="preserve">نفق طريق الامام سعود بن عبدالعزيز تقاطع طريق الملك عبدالعزيز </v>
      </c>
      <c r="F79" t="str">
        <f>IFERROR(INDEX(N:N, MATCH(C79, P:P, 0)), "Not Found")</f>
        <v>SAUD_ABDAZIZ_WE2</v>
      </c>
      <c r="G79" t="str">
        <f>IFERROR(INDEX(Q:Q, MATCH(C79, P:P, 0)), "Not Found")</f>
        <v>24.753362, 46.676748</v>
      </c>
      <c r="L79">
        <v>78</v>
      </c>
      <c r="M79" s="79" t="s">
        <v>690</v>
      </c>
      <c r="N79" s="80" t="s">
        <v>694</v>
      </c>
      <c r="O79" s="81" t="s">
        <v>695</v>
      </c>
      <c r="P79" s="82" t="s">
        <v>16</v>
      </c>
      <c r="Q79" s="248" t="s">
        <v>1815</v>
      </c>
    </row>
    <row r="80" spans="1:17" ht="21" thickBot="1">
      <c r="A80">
        <v>79</v>
      </c>
      <c r="B80" s="225" t="s">
        <v>70</v>
      </c>
      <c r="C80" s="6" t="s">
        <v>37</v>
      </c>
      <c r="E80" t="str">
        <f>IFERROR(INDEX(M:M, MATCH(C80, P:P, 0)), "Not Found")</f>
        <v>نفق بترومين طريق الخرج  بعد شركة مياه بيرين  اتجاه الشمال</v>
      </c>
      <c r="F80" t="str">
        <f>IFERROR(INDEX(N:N, MATCH(C80, P:P, 0)), "Not Found")</f>
        <v>Petromin_TN_1</v>
      </c>
      <c r="G80" t="str">
        <f>IFERROR(INDEX(Q:Q, MATCH(C80, P:P, 0)), "Not Found")</f>
        <v>24.540857,46.877738</v>
      </c>
      <c r="L80">
        <v>79</v>
      </c>
      <c r="M80" s="83" t="s">
        <v>690</v>
      </c>
      <c r="N80" s="84" t="s">
        <v>696</v>
      </c>
      <c r="O80" s="85" t="s">
        <v>697</v>
      </c>
      <c r="P80" s="86" t="s">
        <v>16</v>
      </c>
      <c r="Q80" s="249" t="s">
        <v>1816</v>
      </c>
    </row>
    <row r="81" spans="1:17" ht="20.25">
      <c r="A81">
        <v>80</v>
      </c>
      <c r="B81" s="230" t="s">
        <v>68</v>
      </c>
      <c r="C81" s="6" t="s">
        <v>140</v>
      </c>
      <c r="E81" t="str">
        <f>IFERROR(INDEX(M:M, MATCH(C81, O:O, 0)), "Not Found")</f>
        <v xml:space="preserve">تقاطع طريق الملك فهد مع طريق الأمير محمد بن عبد العزيز  </v>
      </c>
      <c r="F81" t="str">
        <f>IFERROR(INDEX(N:N, MATCH(C81, O:O, 0)), "Not Found")</f>
        <v>U5-OUT-N</v>
      </c>
      <c r="G81" t="str">
        <f>IFERROR(INDEX(Q:Q, MATCH(C81, O:O, 0)), "Not Found")</f>
        <v>24.6956512,46.6803389</v>
      </c>
      <c r="L81">
        <v>80</v>
      </c>
      <c r="M81" s="87" t="s">
        <v>698</v>
      </c>
      <c r="N81" s="76" t="s">
        <v>699</v>
      </c>
      <c r="O81" s="88" t="s">
        <v>132</v>
      </c>
      <c r="P81" s="76" t="s">
        <v>65</v>
      </c>
      <c r="Q81" s="251" t="s">
        <v>1817</v>
      </c>
    </row>
    <row r="82" spans="1:17" ht="20.25">
      <c r="A82">
        <v>81</v>
      </c>
      <c r="B82" s="231" t="s">
        <v>68</v>
      </c>
      <c r="C82" s="6" t="s">
        <v>141</v>
      </c>
      <c r="E82" t="str">
        <f>IFERROR(INDEX(M:M, MATCH(C82, O:O, 0)), "Not Found")</f>
        <v xml:space="preserve">تقاطع طريق عمر بن عبد العزيز مع طريق النهضة </v>
      </c>
      <c r="F82" t="str">
        <f>IFERROR(INDEX(N:N, MATCH(C82, O:O, 0)), "Not Found")</f>
        <v>u8-we-2</v>
      </c>
      <c r="G82" t="str">
        <f>IFERROR(INDEX(Q:Q, MATCH(C82, O:O, 0)), "Not Found")</f>
        <v>24.688216, 46.754268</v>
      </c>
      <c r="L82">
        <v>81</v>
      </c>
      <c r="M82" s="89" t="s">
        <v>698</v>
      </c>
      <c r="N82" s="80" t="s">
        <v>700</v>
      </c>
      <c r="O82" s="90" t="s">
        <v>701</v>
      </c>
      <c r="P82" s="80" t="s">
        <v>65</v>
      </c>
      <c r="Q82" s="252" t="s">
        <v>1818</v>
      </c>
    </row>
    <row r="83" spans="1:17" ht="20.25">
      <c r="A83">
        <v>82</v>
      </c>
      <c r="B83" s="231" t="s">
        <v>68</v>
      </c>
      <c r="C83" s="6" t="s">
        <v>130</v>
      </c>
      <c r="E83" t="str">
        <f>IFERROR(INDEX(M:M, MATCH(C83, O:O, 0)), "Not Found")</f>
        <v>تقاطع طريق الإمام سعود مع طريق أبي بكر الصديق</v>
      </c>
      <c r="F83" t="str">
        <f>IFERROR(INDEX(N:N, MATCH(C83, O:O, 0)), "Not Found")</f>
        <v>U13-G-WE</v>
      </c>
      <c r="G83" t="str">
        <f>IFERROR(INDEX(Q:Q, MATCH(C83, O:O, 0)), "Not Found")</f>
        <v>24.759848, 46.692203</v>
      </c>
      <c r="L83">
        <v>82</v>
      </c>
      <c r="M83" s="89" t="s">
        <v>698</v>
      </c>
      <c r="N83" s="80" t="s">
        <v>702</v>
      </c>
      <c r="O83" s="90" t="s">
        <v>703</v>
      </c>
      <c r="P83" s="80" t="s">
        <v>65</v>
      </c>
      <c r="Q83" s="252" t="s">
        <v>1819</v>
      </c>
    </row>
    <row r="84" spans="1:17" ht="20.25">
      <c r="A84">
        <v>83</v>
      </c>
      <c r="B84" s="226" t="s">
        <v>70</v>
      </c>
      <c r="C84" s="6" t="s">
        <v>8</v>
      </c>
      <c r="E84" t="str">
        <f>IFERROR(INDEX(M:M, MATCH(C84, P:P, 0)), "Not Found")</f>
        <v>نفق طريق الملك فهد تقاطع طريق الامام سعود بن فيصل</v>
      </c>
      <c r="F84" t="str">
        <f>IFERROR(INDEX(N:N, MATCH(C84, P:P, 0)), "Not Found")</f>
        <v>Fahd_saud_TN1</v>
      </c>
      <c r="G84" t="str">
        <f>IFERROR(INDEX(Q:Q, MATCH(C84, P:P, 0)), "Not Found")</f>
        <v>24.793907, 46.630556</v>
      </c>
      <c r="L84">
        <v>83</v>
      </c>
      <c r="M84" s="89" t="s">
        <v>698</v>
      </c>
      <c r="N84" s="80" t="s">
        <v>704</v>
      </c>
      <c r="O84" s="90" t="s">
        <v>705</v>
      </c>
      <c r="P84" s="80" t="s">
        <v>65</v>
      </c>
      <c r="Q84" s="252" t="s">
        <v>1820</v>
      </c>
    </row>
    <row r="85" spans="1:17" ht="20.25">
      <c r="A85">
        <v>84</v>
      </c>
      <c r="B85" s="7" t="s">
        <v>73</v>
      </c>
      <c r="C85" s="9" t="s">
        <v>46</v>
      </c>
      <c r="E85" t="str">
        <f>IFERROR(INDEX(M:M, MATCH(C85, P:P, 0)), "Not Found")</f>
        <v>تقاطع طريق ديراب مع طريق الإمام مسلم</v>
      </c>
      <c r="F85" t="str">
        <f>IFERROR(INDEX(N:N, MATCH(C85, P:P, 0)), "Not Found")</f>
        <v>U15-2-ns1</v>
      </c>
      <c r="G85" t="str">
        <f>IFERROR(INDEX(Q:Q, MATCH(C85, P:P, 0)), "Not Found")</f>
        <v>24.551684, 46.670438</v>
      </c>
      <c r="L85">
        <v>84</v>
      </c>
      <c r="M85" s="89" t="s">
        <v>698</v>
      </c>
      <c r="N85" s="80" t="s">
        <v>706</v>
      </c>
      <c r="O85" s="90" t="s">
        <v>707</v>
      </c>
      <c r="P85" s="80" t="s">
        <v>65</v>
      </c>
      <c r="Q85" s="253" t="s">
        <v>1821</v>
      </c>
    </row>
    <row r="86" spans="1:17" ht="20.25">
      <c r="A86">
        <v>85</v>
      </c>
      <c r="B86" s="7" t="s">
        <v>73</v>
      </c>
      <c r="C86" s="9" t="s">
        <v>38</v>
      </c>
      <c r="E86" t="str">
        <f>IFERROR(INDEX(M:M, MATCH(C86, P:P, 0)), "Not Found")</f>
        <v>تقاطع طريق الأمير تركي بن عبد العزيز الأول مع طريق العروبة</v>
      </c>
      <c r="F86" t="str">
        <f>IFERROR(INDEX(N:N, MATCH(C86, P:P, 0)), "Not Found")</f>
        <v>U24_SN-2</v>
      </c>
      <c r="G86" t="str">
        <f>IFERROR(INDEX(Q:Q, MATCH(C86, P:P, 0)), "Not Found")</f>
        <v>24.704813, 46.653971</v>
      </c>
      <c r="L86">
        <v>85</v>
      </c>
      <c r="M86" s="89" t="s">
        <v>698</v>
      </c>
      <c r="N86" s="80" t="s">
        <v>708</v>
      </c>
      <c r="O86" s="90" t="s">
        <v>709</v>
      </c>
      <c r="P86" s="80" t="s">
        <v>65</v>
      </c>
      <c r="Q86" s="252" t="s">
        <v>1822</v>
      </c>
    </row>
    <row r="87" spans="1:17" ht="21" thickBot="1">
      <c r="A87">
        <v>86</v>
      </c>
      <c r="B87" s="229" t="s">
        <v>69</v>
      </c>
      <c r="C87" s="6" t="s">
        <v>362</v>
      </c>
      <c r="E87" t="str">
        <f>IFERROR(INDEX(M:M, MATCH(C87, O:O, 0)), "Not Found")</f>
        <v>تقاطع طريق الامام سعود بن عبد العزيز مع الدائري الشرقي (غرب)</v>
      </c>
      <c r="F87" t="str">
        <f>IFERROR(INDEX(N:N, MATCH(C87, O:O, 0)), "Not Found")</f>
        <v>U19-EB1</v>
      </c>
      <c r="G87" t="str">
        <f t="shared" ref="G87:G93" si="12">IFERROR(INDEX(Q:Q, MATCH(C87, O:O, 0)), "Not Found")</f>
        <v>24.541722, 46.662333</v>
      </c>
      <c r="L87">
        <v>86</v>
      </c>
      <c r="M87" s="91" t="s">
        <v>698</v>
      </c>
      <c r="N87" s="84" t="s">
        <v>710</v>
      </c>
      <c r="O87" s="92" t="s">
        <v>711</v>
      </c>
      <c r="P87" s="84" t="s">
        <v>65</v>
      </c>
      <c r="Q87" s="254" t="s">
        <v>1823</v>
      </c>
    </row>
    <row r="88" spans="1:17" ht="20.25">
      <c r="A88">
        <v>87</v>
      </c>
      <c r="B88" s="229" t="s">
        <v>69</v>
      </c>
      <c r="C88" s="6" t="s">
        <v>372</v>
      </c>
      <c r="E88" t="str">
        <f>IFERROR(INDEX(M:M, MATCH(C88, O:O, 0)), "Not Found")</f>
        <v>طريق الملك سلمان - الملك فهد -غرب</v>
      </c>
      <c r="F88" t="str">
        <f>IFERROR(INDEX(N:N, MATCH(C88, O:O, 0)), "Not Found")</f>
        <v>VMS KING SALMAN KING FAHD WB</v>
      </c>
      <c r="G88" t="str">
        <f t="shared" si="12"/>
        <v>24.772007, 46.720777</v>
      </c>
      <c r="L88">
        <v>87</v>
      </c>
      <c r="M88" s="93" t="s">
        <v>712</v>
      </c>
      <c r="N88" s="76" t="s">
        <v>713</v>
      </c>
      <c r="O88" s="94" t="s">
        <v>133</v>
      </c>
      <c r="P88" s="95" t="s">
        <v>48</v>
      </c>
      <c r="Q88" s="251" t="s">
        <v>1824</v>
      </c>
    </row>
    <row r="89" spans="1:17" ht="20.25">
      <c r="A89">
        <v>88</v>
      </c>
      <c r="B89" s="229" t="s">
        <v>69</v>
      </c>
      <c r="C89" s="224" t="s">
        <v>10</v>
      </c>
      <c r="E89" t="str">
        <f>IFERROR(INDEX(M:M, MATCH(C89, N:N, 0)), "Not Found")</f>
        <v>Not Found</v>
      </c>
      <c r="F89" t="str">
        <f>IFERROR(INDEX(O:O, MATCH(C89, N:N, 0)), "Not Found")</f>
        <v>Not Found</v>
      </c>
      <c r="G89" t="str">
        <f t="shared" si="12"/>
        <v>Not Found</v>
      </c>
      <c r="L89">
        <v>88</v>
      </c>
      <c r="M89" s="96" t="s">
        <v>712</v>
      </c>
      <c r="N89" s="80" t="s">
        <v>714</v>
      </c>
      <c r="O89" s="97" t="s">
        <v>715</v>
      </c>
      <c r="P89" s="98" t="s">
        <v>48</v>
      </c>
      <c r="Q89" s="252" t="s">
        <v>1825</v>
      </c>
    </row>
    <row r="90" spans="1:17" ht="20.25">
      <c r="A90">
        <v>89</v>
      </c>
      <c r="B90" s="229" t="s">
        <v>69</v>
      </c>
      <c r="C90" s="6" t="s">
        <v>446</v>
      </c>
      <c r="E90" t="str">
        <f>IFERROR(INDEX(M:M, MATCH(C90, O:O, 0)), "Not Found")</f>
        <v>طريق الشيخ جابر الصباح - خريص - جنوب</v>
      </c>
      <c r="F90" t="str">
        <f>IFERROR(INDEX(N:N, MATCH(C90, O:O, 0)), "Not Found")</f>
        <v>VMS SHEIKH JABR SB</v>
      </c>
      <c r="G90" t="str">
        <f t="shared" si="12"/>
        <v xml:space="preserve"> 24.760372° -  46.835839°</v>
      </c>
      <c r="L90">
        <v>89</v>
      </c>
      <c r="M90" s="96" t="s">
        <v>712</v>
      </c>
      <c r="N90" s="80" t="s">
        <v>716</v>
      </c>
      <c r="O90" s="97" t="s">
        <v>717</v>
      </c>
      <c r="P90" s="98" t="s">
        <v>48</v>
      </c>
      <c r="Q90" s="252" t="s">
        <v>1826</v>
      </c>
    </row>
    <row r="91" spans="1:17" ht="20.25">
      <c r="A91">
        <v>90</v>
      </c>
      <c r="B91" s="229" t="s">
        <v>69</v>
      </c>
      <c r="C91" s="6" t="s">
        <v>475</v>
      </c>
      <c r="E91" t="str">
        <f>IFERROR(INDEX(M:M, MATCH(C91, O:O, 0)), "Not Found")</f>
        <v>طريق جدة  مدخل الرياض - إتجاه الرياض</v>
      </c>
      <c r="F91" t="str">
        <f>IFERROR(INDEX(N:N, MATCH(C91, O:O, 0)), "Not Found")</f>
        <v>VMS JEDDAH ROAD</v>
      </c>
      <c r="G91" t="str">
        <f t="shared" si="12"/>
        <v>24.620331, 46.574278</v>
      </c>
      <c r="L91">
        <v>90</v>
      </c>
      <c r="M91" s="96" t="s">
        <v>712</v>
      </c>
      <c r="N91" s="80" t="s">
        <v>718</v>
      </c>
      <c r="O91" s="97" t="s">
        <v>719</v>
      </c>
      <c r="P91" s="98" t="s">
        <v>48</v>
      </c>
      <c r="Q91" s="252" t="s">
        <v>1827</v>
      </c>
    </row>
    <row r="92" spans="1:17" ht="21" thickBot="1">
      <c r="A92">
        <v>91</v>
      </c>
      <c r="B92" s="230" t="s">
        <v>68</v>
      </c>
      <c r="C92" s="224" t="s">
        <v>104</v>
      </c>
      <c r="E92" t="str">
        <f>IFERROR(INDEX(M:M, MATCH(C92, O:O, 0)), "Not Found")</f>
        <v>Not Found</v>
      </c>
      <c r="F92" t="str">
        <f>IFERROR(INDEX(N:N, MATCH(C92, O:O, 0)), "Not Found")</f>
        <v>Not Found</v>
      </c>
      <c r="G92" t="str">
        <f t="shared" si="12"/>
        <v>Not Found</v>
      </c>
      <c r="L92">
        <v>91</v>
      </c>
      <c r="M92" s="99" t="s">
        <v>712</v>
      </c>
      <c r="N92" s="84" t="s">
        <v>720</v>
      </c>
      <c r="O92" s="100" t="s">
        <v>721</v>
      </c>
      <c r="P92" s="101" t="s">
        <v>48</v>
      </c>
      <c r="Q92" s="254" t="s">
        <v>1828</v>
      </c>
    </row>
    <row r="93" spans="1:17" ht="20.25">
      <c r="A93">
        <v>92</v>
      </c>
      <c r="B93" s="228" t="s">
        <v>69</v>
      </c>
      <c r="C93" s="6" t="s">
        <v>475</v>
      </c>
      <c r="E93" t="str">
        <f>IFERROR(INDEX(M:M, MATCH(C93, O:O, 0)), "Not Found")</f>
        <v>طريق جدة  مدخل الرياض - إتجاه الرياض</v>
      </c>
      <c r="F93" t="str">
        <f>IFERROR(INDEX(N:N, MATCH(C93, O:O, 0)), "Not Found")</f>
        <v>VMS JEDDAH ROAD</v>
      </c>
      <c r="G93" t="str">
        <f t="shared" si="12"/>
        <v>24.620331, 46.574278</v>
      </c>
      <c r="L93">
        <v>92</v>
      </c>
      <c r="M93" s="75" t="s">
        <v>722</v>
      </c>
      <c r="N93" s="76" t="s">
        <v>723</v>
      </c>
      <c r="O93" s="77" t="s">
        <v>724</v>
      </c>
      <c r="P93" s="78" t="s">
        <v>36</v>
      </c>
      <c r="Q93" s="250" t="s">
        <v>1829</v>
      </c>
    </row>
    <row r="94" spans="1:17" ht="20.25">
      <c r="A94">
        <v>93</v>
      </c>
      <c r="B94" s="225" t="s">
        <v>70</v>
      </c>
      <c r="C94" s="291" t="s">
        <v>50</v>
      </c>
      <c r="E94" t="str">
        <f>IFERROR(INDEX(M:M, MATCH(C94, P:P, 0)), "Not Found")</f>
        <v xml:space="preserve">  نفق على طريق العروبة بعد طريق الملك خالد (مستشفى العيون)</v>
      </c>
      <c r="F94" t="str">
        <f>IFERROR(INDEX(N:N, MATCH(C94,P:P, 0)), "Not Found")</f>
        <v>Oyon_Tunnel_EW</v>
      </c>
      <c r="G94" t="str">
        <f>IFERROR(INDEX(Q:Q, MATCH(C94, P:P, 0)), "Not Found")</f>
        <v>24.696328, 46.634785</v>
      </c>
      <c r="L94">
        <v>93</v>
      </c>
      <c r="M94" s="79" t="s">
        <v>722</v>
      </c>
      <c r="N94" s="80" t="s">
        <v>725</v>
      </c>
      <c r="O94" s="81" t="s">
        <v>726</v>
      </c>
      <c r="P94" s="82" t="s">
        <v>36</v>
      </c>
      <c r="Q94" s="255" t="s">
        <v>1830</v>
      </c>
    </row>
    <row r="95" spans="1:17" ht="20.25">
      <c r="A95">
        <v>94</v>
      </c>
      <c r="B95" s="230" t="s">
        <v>68</v>
      </c>
      <c r="C95" s="6" t="s">
        <v>142</v>
      </c>
      <c r="E95" t="str">
        <f>IFERROR(INDEX(M:M, MATCH(C95, O:O, 0)), "Not Found")</f>
        <v xml:space="preserve">نفق طريق عثمان بن عفان قبل طريق الحسين بن علي </v>
      </c>
      <c r="F95" t="str">
        <f>IFERROR(INDEX(N:N, MATCH(C95, O:O, 0)), "Not Found")</f>
        <v>U115_OTHMAN_NS</v>
      </c>
      <c r="G95" t="str">
        <f>IFERROR(INDEX(Q:Q, MATCH(C95, O:O, 0)), "Not Found")</f>
        <v>24.780599, 46.706415</v>
      </c>
      <c r="L95">
        <v>94</v>
      </c>
      <c r="M95" s="79" t="s">
        <v>722</v>
      </c>
      <c r="N95" s="80" t="s">
        <v>727</v>
      </c>
      <c r="O95" s="81" t="s">
        <v>728</v>
      </c>
      <c r="P95" s="82" t="s">
        <v>36</v>
      </c>
      <c r="Q95" s="255" t="s">
        <v>1831</v>
      </c>
    </row>
    <row r="96" spans="1:17" ht="20.25">
      <c r="A96">
        <v>95</v>
      </c>
      <c r="B96" s="228" t="s">
        <v>69</v>
      </c>
      <c r="C96" s="6" t="s">
        <v>430</v>
      </c>
      <c r="E96" t="str">
        <f>IFERROR(INDEX(M:M, MATCH(C96, O:O, 0)), "Not Found")</f>
        <v>الدائري الشرقي - مخرج 11 - شمال</v>
      </c>
      <c r="F96" t="str">
        <f>IFERROR(INDEX(N:N, MATCH(C96, O:O, 0)), "Not Found")</f>
        <v>VMS EXIT 11 NB</v>
      </c>
      <c r="G96" t="str">
        <f>IFERROR(INDEX(Q:Q, MATCH(C96, O:O, 0)), "Not Found")</f>
        <v>24.497218, 46.941622</v>
      </c>
      <c r="L96">
        <v>95</v>
      </c>
      <c r="M96" s="79" t="s">
        <v>722</v>
      </c>
      <c r="N96" s="80" t="s">
        <v>729</v>
      </c>
      <c r="O96" s="81" t="s">
        <v>730</v>
      </c>
      <c r="P96" s="82" t="s">
        <v>36</v>
      </c>
      <c r="Q96" s="255" t="s">
        <v>1832</v>
      </c>
    </row>
    <row r="97" spans="1:17" ht="20.25">
      <c r="A97">
        <v>96</v>
      </c>
      <c r="B97" s="230" t="s">
        <v>68</v>
      </c>
      <c r="C97" s="224" t="s">
        <v>20</v>
      </c>
      <c r="E97" t="str">
        <f>IFERROR(INDEX(M:M, MATCH(C97, O:O, 0)), "Not Found")</f>
        <v>Not Found</v>
      </c>
      <c r="F97" t="str">
        <f>IFERROR(INDEX(N:N, MATCH(C97, P:P, 0)), "Not Found")</f>
        <v>Not Found</v>
      </c>
      <c r="G97" t="str">
        <f>IFERROR(INDEX(Q:Q, MATCH(C97, O:O, 0)), "Not Found")</f>
        <v>Not Found</v>
      </c>
      <c r="L97">
        <v>96</v>
      </c>
      <c r="M97" s="79" t="s">
        <v>722</v>
      </c>
      <c r="N97" s="80" t="s">
        <v>731</v>
      </c>
      <c r="O97" s="81" t="s">
        <v>732</v>
      </c>
      <c r="P97" s="82" t="s">
        <v>36</v>
      </c>
      <c r="Q97" s="255" t="s">
        <v>1833</v>
      </c>
    </row>
    <row r="98" spans="1:17" ht="20.25">
      <c r="A98">
        <v>97</v>
      </c>
      <c r="B98" s="231" t="s">
        <v>68</v>
      </c>
      <c r="C98" s="6" t="s">
        <v>107</v>
      </c>
      <c r="E98" t="str">
        <f>IFERROR(INDEX(M:M, MATCH(C98, O:O, 0)), "Not Found")</f>
        <v>نفق تقاطع طريق الدائري الشرقي مع طريق المدينة المنورة (مخرج17)</v>
      </c>
      <c r="F98" t="str">
        <f>IFERROR(INDEX(N:N, MATCH(C98, O:O, 0)), "Not Found")</f>
        <v>EX17_TN_SN1</v>
      </c>
      <c r="G98" t="str">
        <f>IFERROR(INDEX(Q:Q, MATCH(C98, O:O, 0)), "Not Found")</f>
        <v>24.653228, 46.792334</v>
      </c>
      <c r="L98">
        <v>97</v>
      </c>
      <c r="M98" s="79" t="s">
        <v>722</v>
      </c>
      <c r="N98" s="80" t="s">
        <v>733</v>
      </c>
      <c r="O98" s="81" t="s">
        <v>734</v>
      </c>
      <c r="P98" s="82" t="s">
        <v>36</v>
      </c>
      <c r="Q98" s="255" t="s">
        <v>1834</v>
      </c>
    </row>
    <row r="99" spans="1:17" ht="20.25">
      <c r="A99">
        <v>98</v>
      </c>
      <c r="B99" s="226" t="s">
        <v>70</v>
      </c>
      <c r="C99" s="291" t="s">
        <v>13</v>
      </c>
      <c r="E99" t="str">
        <f>IFERROR(INDEX(M:M, MATCH(C99, P:P, 0)), "Not Found")</f>
        <v>نفق تقاطع طريق الدائري الشرقي مع طريق المدينة المنورة (مخرج17)</v>
      </c>
      <c r="F99" t="str">
        <f>IFERROR(INDEX(N:N, MATCH(C99,P:P, 0)), "Not Found")</f>
        <v>EX17_TN_SN1</v>
      </c>
      <c r="G99" t="str">
        <f>IFERROR(INDEX(Q:Q, MATCH(C99, P:P, 0)), "Not Found")</f>
        <v>24.653228, 46.792334</v>
      </c>
      <c r="L99">
        <v>98</v>
      </c>
      <c r="M99" s="79" t="s">
        <v>722</v>
      </c>
      <c r="N99" s="80" t="s">
        <v>735</v>
      </c>
      <c r="O99" s="81" t="s">
        <v>736</v>
      </c>
      <c r="P99" s="82" t="s">
        <v>36</v>
      </c>
      <c r="Q99" s="248" t="s">
        <v>1835</v>
      </c>
    </row>
    <row r="100" spans="1:17" ht="20.25">
      <c r="A100">
        <v>99</v>
      </c>
      <c r="B100" s="230" t="s">
        <v>68</v>
      </c>
      <c r="C100" s="224" t="s">
        <v>104</v>
      </c>
      <c r="E100" t="str">
        <f t="shared" ref="E100:E110" si="13">IFERROR(INDEX(M:M, MATCH(C100, O:O, 0)), "Not Found")</f>
        <v>Not Found</v>
      </c>
      <c r="F100" t="str">
        <f t="shared" ref="F100:F110" si="14">IFERROR(INDEX(N:N, MATCH(C100, O:O, 0)), "Not Found")</f>
        <v>Not Found</v>
      </c>
      <c r="G100" t="str">
        <f t="shared" ref="G100:G110" si="15">IFERROR(INDEX(Q:Q, MATCH(C100, O:O, 0)), "Not Found")</f>
        <v>Not Found</v>
      </c>
      <c r="L100">
        <v>99</v>
      </c>
      <c r="M100" s="79" t="s">
        <v>722</v>
      </c>
      <c r="N100" s="80" t="s">
        <v>737</v>
      </c>
      <c r="O100" s="81" t="s">
        <v>140</v>
      </c>
      <c r="P100" s="82" t="s">
        <v>36</v>
      </c>
      <c r="Q100" s="255" t="s">
        <v>1836</v>
      </c>
    </row>
    <row r="101" spans="1:17" ht="20.25">
      <c r="A101">
        <v>100</v>
      </c>
      <c r="B101" s="231" t="s">
        <v>68</v>
      </c>
      <c r="C101" s="6" t="s">
        <v>1395</v>
      </c>
      <c r="E101" t="str">
        <f t="shared" si="13"/>
        <v>نفق مخرج 30 طريق خريص تقاطع شارع حسان بن ثابت</v>
      </c>
      <c r="F101" t="str">
        <f t="shared" si="14"/>
        <v>EX30_khu_WE1</v>
      </c>
      <c r="G101" t="str">
        <f t="shared" si="15"/>
        <v>24.750282, 46.819495</v>
      </c>
      <c r="L101">
        <v>100</v>
      </c>
      <c r="M101" s="79" t="s">
        <v>722</v>
      </c>
      <c r="N101" s="80" t="s">
        <v>738</v>
      </c>
      <c r="O101" s="81" t="s">
        <v>739</v>
      </c>
      <c r="P101" s="82" t="s">
        <v>36</v>
      </c>
      <c r="Q101" s="255" t="s">
        <v>1837</v>
      </c>
    </row>
    <row r="102" spans="1:17" ht="21" thickBot="1">
      <c r="A102">
        <v>101</v>
      </c>
      <c r="B102" s="231" t="s">
        <v>68</v>
      </c>
      <c r="C102" s="6" t="s">
        <v>145</v>
      </c>
      <c r="E102" t="str">
        <f t="shared" si="13"/>
        <v xml:space="preserve">طريق أبو عبيدة بن الجراح - بعد تقاطعه مع الدائري الشرقي باتجاه الشرق </v>
      </c>
      <c r="F102" t="str">
        <f t="shared" si="14"/>
        <v>U12-ew2</v>
      </c>
      <c r="G102" t="str">
        <f t="shared" si="15"/>
        <v>24.667533, 46.796880</v>
      </c>
      <c r="L102">
        <v>101</v>
      </c>
      <c r="M102" s="83" t="s">
        <v>722</v>
      </c>
      <c r="N102" s="84" t="s">
        <v>740</v>
      </c>
      <c r="O102" s="85" t="s">
        <v>741</v>
      </c>
      <c r="P102" s="86" t="s">
        <v>36</v>
      </c>
      <c r="Q102" s="256" t="s">
        <v>1831</v>
      </c>
    </row>
    <row r="103" spans="1:17" ht="20.25">
      <c r="A103">
        <v>102</v>
      </c>
      <c r="B103" s="231" t="s">
        <v>68</v>
      </c>
      <c r="C103" s="6" t="s">
        <v>114</v>
      </c>
      <c r="E103" t="str">
        <f t="shared" si="13"/>
        <v>مخرج 5 الى 6 - الدائري الشمالي - شرق - جانتري (2)</v>
      </c>
      <c r="F103" t="str">
        <f t="shared" si="14"/>
        <v>EX5TO6-E-2</v>
      </c>
      <c r="G103" t="str">
        <f t="shared" si="15"/>
        <v>24.775587, 46.682076</v>
      </c>
      <c r="L103">
        <v>102</v>
      </c>
      <c r="M103" s="93" t="s">
        <v>742</v>
      </c>
      <c r="N103" s="76" t="s">
        <v>743</v>
      </c>
      <c r="O103" s="94" t="s">
        <v>744</v>
      </c>
      <c r="P103" s="95" t="s">
        <v>12</v>
      </c>
      <c r="Q103" s="257" t="s">
        <v>1838</v>
      </c>
    </row>
    <row r="104" spans="1:17" ht="20.25">
      <c r="A104">
        <v>103</v>
      </c>
      <c r="B104" s="231" t="s">
        <v>68</v>
      </c>
      <c r="C104" s="6" t="s">
        <v>143</v>
      </c>
      <c r="E104" t="str">
        <f t="shared" si="13"/>
        <v>الدائري الشرقي الفرعي مخرج 14 جنوب</v>
      </c>
      <c r="F104" t="str">
        <f t="shared" si="14"/>
        <v>EXIT14-S</v>
      </c>
      <c r="G104" t="str">
        <f t="shared" si="15"/>
        <v>24.693355, 46.773648</v>
      </c>
      <c r="L104">
        <v>103</v>
      </c>
      <c r="M104" s="96" t="s">
        <v>742</v>
      </c>
      <c r="N104" s="80" t="s">
        <v>745</v>
      </c>
      <c r="O104" s="97" t="s">
        <v>746</v>
      </c>
      <c r="P104" s="98" t="s">
        <v>12</v>
      </c>
      <c r="Q104" s="258" t="s">
        <v>1839</v>
      </c>
    </row>
    <row r="105" spans="1:17" ht="20.25">
      <c r="A105">
        <v>104</v>
      </c>
      <c r="B105" s="228" t="s">
        <v>69</v>
      </c>
      <c r="C105" s="6" t="s">
        <v>439</v>
      </c>
      <c r="E105" t="str">
        <f t="shared" si="13"/>
        <v>الدائري الشرقي - مخرج 14 - جنوب</v>
      </c>
      <c r="F105" t="str">
        <f t="shared" si="14"/>
        <v>VMS EXIT 14 SB</v>
      </c>
      <c r="G105" t="str">
        <f t="shared" si="15"/>
        <v>24.671426° -  46.780755°</v>
      </c>
      <c r="L105">
        <v>104</v>
      </c>
      <c r="M105" s="96" t="s">
        <v>742</v>
      </c>
      <c r="N105" s="80" t="s">
        <v>747</v>
      </c>
      <c r="O105" s="97" t="s">
        <v>748</v>
      </c>
      <c r="P105" s="98" t="s">
        <v>12</v>
      </c>
      <c r="Q105" s="258" t="s">
        <v>1840</v>
      </c>
    </row>
    <row r="106" spans="1:17" ht="20.25">
      <c r="A106">
        <v>105</v>
      </c>
      <c r="B106" s="230" t="s">
        <v>68</v>
      </c>
      <c r="C106" s="6" t="s">
        <v>144</v>
      </c>
      <c r="E106" t="str">
        <f t="shared" si="13"/>
        <v>عمود مخرج 16 الى 15 - الدائري الشرقي - شمال</v>
      </c>
      <c r="F106" t="str">
        <f t="shared" si="14"/>
        <v>EX16TO15-POLE-N</v>
      </c>
      <c r="G106" t="str">
        <f t="shared" si="15"/>
        <v>24.671120, 46.781692</v>
      </c>
      <c r="L106">
        <v>105</v>
      </c>
      <c r="M106" s="96" t="s">
        <v>742</v>
      </c>
      <c r="N106" s="80" t="s">
        <v>749</v>
      </c>
      <c r="O106" s="97" t="s">
        <v>750</v>
      </c>
      <c r="P106" s="98" t="s">
        <v>12</v>
      </c>
      <c r="Q106" s="258" t="s">
        <v>1841</v>
      </c>
    </row>
    <row r="107" spans="1:17" ht="20.25">
      <c r="A107">
        <v>106</v>
      </c>
      <c r="B107" s="231" t="s">
        <v>68</v>
      </c>
      <c r="C107" s="6" t="s">
        <v>176</v>
      </c>
      <c r="E107" t="str">
        <f t="shared" si="13"/>
        <v>مخرج 12 الى 13 - الدائري الشرقي  - جنوب</v>
      </c>
      <c r="F107" t="str">
        <f t="shared" si="14"/>
        <v>EX12TO13-S</v>
      </c>
      <c r="G107" t="str">
        <f t="shared" si="15"/>
        <v>24.704407, 46.768788</v>
      </c>
      <c r="L107">
        <v>106</v>
      </c>
      <c r="M107" s="96" t="s">
        <v>742</v>
      </c>
      <c r="N107" s="80" t="s">
        <v>751</v>
      </c>
      <c r="O107" s="97" t="s">
        <v>752</v>
      </c>
      <c r="P107" s="98" t="s">
        <v>12</v>
      </c>
      <c r="Q107" s="258" t="s">
        <v>1842</v>
      </c>
    </row>
    <row r="108" spans="1:17" ht="20.25">
      <c r="A108">
        <v>107</v>
      </c>
      <c r="B108" s="231" t="s">
        <v>68</v>
      </c>
      <c r="C108" s="6" t="s">
        <v>136</v>
      </c>
      <c r="E108" t="str">
        <f t="shared" si="13"/>
        <v>الجسر المعلق</v>
      </c>
      <c r="F108" t="str">
        <f t="shared" si="14"/>
        <v>Jasar_pole2_S1</v>
      </c>
      <c r="G108" t="str">
        <f t="shared" si="15"/>
        <v>24.614449, 46.583522</v>
      </c>
      <c r="L108">
        <v>107</v>
      </c>
      <c r="M108" s="96" t="s">
        <v>742</v>
      </c>
      <c r="N108" s="80" t="s">
        <v>753</v>
      </c>
      <c r="O108" s="97" t="s">
        <v>754</v>
      </c>
      <c r="P108" s="98" t="s">
        <v>12</v>
      </c>
      <c r="Q108" s="258" t="s">
        <v>1843</v>
      </c>
    </row>
    <row r="109" spans="1:17" ht="20.25">
      <c r="A109">
        <v>108</v>
      </c>
      <c r="B109" s="228" t="s">
        <v>69</v>
      </c>
      <c r="C109" s="6" t="s">
        <v>439</v>
      </c>
      <c r="E109" t="str">
        <f t="shared" si="13"/>
        <v>الدائري الشرقي - مخرج 14 - جنوب</v>
      </c>
      <c r="F109" t="str">
        <f t="shared" si="14"/>
        <v>VMS EXIT 14 SB</v>
      </c>
      <c r="G109" t="str">
        <f t="shared" si="15"/>
        <v>24.671426° -  46.780755°</v>
      </c>
      <c r="L109">
        <v>108</v>
      </c>
      <c r="M109" s="96" t="s">
        <v>742</v>
      </c>
      <c r="N109" s="80" t="s">
        <v>755</v>
      </c>
      <c r="O109" s="97" t="s">
        <v>756</v>
      </c>
      <c r="P109" s="98" t="s">
        <v>12</v>
      </c>
      <c r="Q109" s="258" t="s">
        <v>1844</v>
      </c>
    </row>
    <row r="110" spans="1:17" ht="20.25">
      <c r="A110">
        <v>109</v>
      </c>
      <c r="B110" s="229" t="s">
        <v>69</v>
      </c>
      <c r="C110" s="6" t="s">
        <v>439</v>
      </c>
      <c r="E110" t="str">
        <f t="shared" si="13"/>
        <v>الدائري الشرقي - مخرج 14 - جنوب</v>
      </c>
      <c r="F110" t="str">
        <f t="shared" si="14"/>
        <v>VMS EXIT 14 SB</v>
      </c>
      <c r="G110" t="str">
        <f t="shared" si="15"/>
        <v>24.671426° -  46.780755°</v>
      </c>
      <c r="L110">
        <v>109</v>
      </c>
      <c r="M110" s="96" t="s">
        <v>742</v>
      </c>
      <c r="N110" s="80" t="s">
        <v>757</v>
      </c>
      <c r="O110" s="97" t="s">
        <v>758</v>
      </c>
      <c r="P110" s="98" t="s">
        <v>12</v>
      </c>
      <c r="Q110" s="258" t="s">
        <v>1845</v>
      </c>
    </row>
    <row r="111" spans="1:17" ht="20.25">
      <c r="A111">
        <v>110</v>
      </c>
      <c r="B111" s="225" t="s">
        <v>70</v>
      </c>
      <c r="C111" s="6" t="s">
        <v>44</v>
      </c>
      <c r="E111" t="str">
        <f>IFERROR(INDEX(M:M, MATCH(C111, P:P, 0)), "Not Found")</f>
        <v>نفق  تقاطع الطريق الدائري الثاني مع شارع السلامه (خشم العان 4)</v>
      </c>
      <c r="F111" t="str">
        <f>IFERROR(INDEX(N:N, MATCH(C111, P:P, 0)), "Not Found")</f>
        <v>khashm4_u149A_1</v>
      </c>
      <c r="G111" t="str">
        <f>IFERROR(INDEX(Q:Q, MATCH(C111, P:P, 0)), "Not Found")</f>
        <v>46.855436‬‏, 24.743596</v>
      </c>
      <c r="L111">
        <v>110</v>
      </c>
      <c r="M111" s="96" t="s">
        <v>742</v>
      </c>
      <c r="N111" s="80" t="s">
        <v>759</v>
      </c>
      <c r="O111" s="97" t="s">
        <v>152</v>
      </c>
      <c r="P111" s="98" t="s">
        <v>83</v>
      </c>
      <c r="Q111" s="258" t="s">
        <v>1846</v>
      </c>
    </row>
    <row r="112" spans="1:17" ht="20.25">
      <c r="A112">
        <v>111</v>
      </c>
      <c r="B112" s="230" t="s">
        <v>68</v>
      </c>
      <c r="C112" s="6" t="s">
        <v>162</v>
      </c>
      <c r="E112" t="str">
        <f>IFERROR(INDEX(M:M, MATCH(C112, O:O, 0)), "Not Found")</f>
        <v>نفق  تقاطع الطريق الدائري الثاني مع شارع السلامه (خشم العان 4)</v>
      </c>
      <c r="F112" t="str">
        <f>IFERROR(INDEX(N:N, MATCH(C112, O:O, 0)), "Not Found")</f>
        <v>khashm4_u149A_1</v>
      </c>
      <c r="G112" t="str">
        <f>IFERROR(INDEX(Q:Q, MATCH(C112, O:O, 0)), "Not Found")</f>
        <v>46.855436‬‏, 24.743596</v>
      </c>
      <c r="L112">
        <v>111</v>
      </c>
      <c r="M112" s="96" t="s">
        <v>742</v>
      </c>
      <c r="N112" s="80" t="s">
        <v>760</v>
      </c>
      <c r="O112" s="97" t="s">
        <v>761</v>
      </c>
      <c r="P112" s="98" t="s">
        <v>83</v>
      </c>
      <c r="Q112" s="258" t="s">
        <v>1847</v>
      </c>
    </row>
    <row r="113" spans="1:17" ht="20.25">
      <c r="A113">
        <v>112</v>
      </c>
      <c r="B113" s="231" t="s">
        <v>68</v>
      </c>
      <c r="C113" s="6" t="s">
        <v>146</v>
      </c>
      <c r="E113" t="str">
        <f>IFERROR(INDEX(M:M, MATCH(C113, O:O, 0)), "Not Found")</f>
        <v xml:space="preserve">نفق طريق العليا تقاطع طريق الدائري الشمالي </v>
      </c>
      <c r="F113" t="str">
        <f>IFERROR(INDEX(N:N, MATCH(C113, O:O, 0)), "Not Found")</f>
        <v>U106_OLAYA_TN1</v>
      </c>
      <c r="G113" t="str">
        <f>IFERROR(INDEX(Q:Q, MATCH(C113, O:O, 0)), "Not Found")</f>
        <v>24.761475, 46.650784</v>
      </c>
      <c r="L113">
        <v>112</v>
      </c>
      <c r="M113" s="96" t="s">
        <v>742</v>
      </c>
      <c r="N113" s="80" t="s">
        <v>762</v>
      </c>
      <c r="O113" s="97" t="s">
        <v>763</v>
      </c>
      <c r="P113" s="98" t="s">
        <v>83</v>
      </c>
      <c r="Q113" s="258" t="s">
        <v>1848</v>
      </c>
    </row>
    <row r="114" spans="1:17" ht="20.25">
      <c r="A114">
        <v>113</v>
      </c>
      <c r="B114" s="231" t="s">
        <v>68</v>
      </c>
      <c r="C114" s="224" t="s">
        <v>104</v>
      </c>
      <c r="E114" t="str">
        <f>IFERROR(INDEX(M:M, MATCH(C114, O:O, 0)), "Not Found")</f>
        <v>Not Found</v>
      </c>
      <c r="F114" t="str">
        <f>IFERROR(INDEX(N:N, MATCH(C114, O:O, 0)), "Not Found")</f>
        <v>Not Found</v>
      </c>
      <c r="G114" t="str">
        <f>IFERROR(INDEX(Q:Q, MATCH(C114, O:O, 0)), "Not Found")</f>
        <v>Not Found</v>
      </c>
      <c r="L114">
        <v>113</v>
      </c>
      <c r="M114" s="96" t="s">
        <v>742</v>
      </c>
      <c r="N114" s="80" t="s">
        <v>764</v>
      </c>
      <c r="O114" s="97" t="s">
        <v>153</v>
      </c>
      <c r="P114" s="98" t="s">
        <v>83</v>
      </c>
      <c r="Q114" s="258" t="s">
        <v>1849</v>
      </c>
    </row>
    <row r="115" spans="1:17" ht="20.25">
      <c r="A115">
        <v>114</v>
      </c>
      <c r="B115" s="231" t="s">
        <v>68</v>
      </c>
      <c r="C115" s="6" t="s">
        <v>147</v>
      </c>
      <c r="E115" t="str">
        <f>IFERROR(INDEX(M:M, MATCH(C115, O:O, 0)), "Not Found")</f>
        <v>نفق تقاطع طريق الملك عبدالعزيز مع طريق مكة المكرمة (البترول)</v>
      </c>
      <c r="F115" t="str">
        <f>IFERROR(INDEX(N:N, MATCH(C115, O:O, 0)), "Not Found")</f>
        <v>U104_Petrol_1</v>
      </c>
      <c r="G115" t="str">
        <f>IFERROR(INDEX(Q:Q, MATCH(C115, O:O, 0)), "Not Found")</f>
        <v>24.691928, 46.718047</v>
      </c>
      <c r="L115">
        <v>114</v>
      </c>
      <c r="M115" s="96" t="s">
        <v>742</v>
      </c>
      <c r="N115" s="80" t="s">
        <v>765</v>
      </c>
      <c r="O115" s="97" t="s">
        <v>154</v>
      </c>
      <c r="P115" s="98" t="s">
        <v>83</v>
      </c>
      <c r="Q115" s="258" t="s">
        <v>1850</v>
      </c>
    </row>
    <row r="116" spans="1:17" ht="20.25">
      <c r="A116">
        <v>115</v>
      </c>
      <c r="B116" s="231" t="s">
        <v>68</v>
      </c>
      <c r="C116" s="6" t="s">
        <v>136</v>
      </c>
      <c r="E116" t="str">
        <f>IFERROR(INDEX(M:M, MATCH(C116, O:O, 0)), "Not Found")</f>
        <v>الجسر المعلق</v>
      </c>
      <c r="F116" t="str">
        <f>IFERROR(INDEX(N:N, MATCH(C116, O:O, 0)), "Not Found")</f>
        <v>Jasar_pole2_S1</v>
      </c>
      <c r="G116" t="str">
        <f>IFERROR(INDEX(Q:Q, MATCH(C116, O:O, 0)), "Not Found")</f>
        <v>24.614449, 46.583522</v>
      </c>
      <c r="L116">
        <v>115</v>
      </c>
      <c r="M116" s="96" t="s">
        <v>742</v>
      </c>
      <c r="N116" s="80" t="s">
        <v>766</v>
      </c>
      <c r="O116" s="97" t="s">
        <v>767</v>
      </c>
      <c r="P116" s="98" t="s">
        <v>30</v>
      </c>
      <c r="Q116" s="258" t="s">
        <v>1851</v>
      </c>
    </row>
    <row r="117" spans="1:17" ht="20.25">
      <c r="A117">
        <v>116</v>
      </c>
      <c r="B117" s="226" t="s">
        <v>70</v>
      </c>
      <c r="C117" s="6" t="s">
        <v>11</v>
      </c>
      <c r="E117" t="str">
        <f>IFERROR(INDEX(M:M, MATCH(C117, P:P, 0)), "Not Found")</f>
        <v>تقاطع طريق الامام سعود بن عبد العزيز مع الدائري الشرقي (غرب)</v>
      </c>
      <c r="F117" t="str">
        <f>IFERROR(INDEX(N:N, MATCH(C117, P:P, 0)), "Not Found")</f>
        <v>U19-EW-1</v>
      </c>
      <c r="G117" t="str">
        <f>IFERROR(INDEX(Q:Q, MATCH(C117, P:P, 0)), "Not Found")</f>
        <v>24.773353, 46.724131</v>
      </c>
      <c r="L117">
        <v>116</v>
      </c>
      <c r="M117" s="96" t="s">
        <v>742</v>
      </c>
      <c r="N117" s="80" t="s">
        <v>768</v>
      </c>
      <c r="O117" s="97" t="s">
        <v>769</v>
      </c>
      <c r="P117" s="98" t="s">
        <v>30</v>
      </c>
      <c r="Q117" s="258" t="s">
        <v>1852</v>
      </c>
    </row>
    <row r="118" spans="1:17" ht="20.25">
      <c r="A118">
        <v>117</v>
      </c>
      <c r="B118" s="225" t="s">
        <v>70</v>
      </c>
      <c r="C118" s="6" t="s">
        <v>43</v>
      </c>
      <c r="E118" t="str">
        <f>IFERROR(INDEX(M:M, MATCH(C118, P:P, 0)), "Not Found")</f>
        <v>نفق مخرج 30 طريق خريص تقاطع شارع حسان بن ثابت</v>
      </c>
      <c r="F118" t="str">
        <f>IFERROR(INDEX(N:N, MATCH(C118, P:P, 0)), "Not Found")</f>
        <v>EX30_khu_EW1</v>
      </c>
      <c r="G118" t="str">
        <f>IFERROR(INDEX(Q:Q, MATCH(C118, P:P, 0)), "Not Found")</f>
        <v>24.751195, 46.820438</v>
      </c>
      <c r="L118">
        <v>117</v>
      </c>
      <c r="M118" s="96" t="s">
        <v>742</v>
      </c>
      <c r="N118" s="102" t="s">
        <v>770</v>
      </c>
      <c r="O118" s="97" t="s">
        <v>771</v>
      </c>
      <c r="P118" s="98" t="s">
        <v>30</v>
      </c>
      <c r="Q118" s="258" t="s">
        <v>1853</v>
      </c>
    </row>
    <row r="119" spans="1:17" ht="20.25">
      <c r="A119">
        <v>118</v>
      </c>
      <c r="B119" s="230" t="s">
        <v>68</v>
      </c>
      <c r="C119" s="6" t="s">
        <v>172</v>
      </c>
      <c r="E119" t="str">
        <f>IFERROR(INDEX(M:M, MATCH(C119, O:O, 0)), "Not Found")</f>
        <v xml:space="preserve">نفق مخرج 30 طريق خريص تقاطع شارع سلمان الفارسي </v>
      </c>
      <c r="F119" t="str">
        <f>IFERROR(INDEX(N:N, MATCH(C119, O:O, 0)), "Not Found")</f>
        <v>EX30_khu_WE3</v>
      </c>
      <c r="G119" t="str">
        <f>IFERROR(INDEX(Q:Q, MATCH(C119, O:O, 0)), "Not Found")</f>
        <v>24.750675, 46.820261</v>
      </c>
      <c r="L119">
        <v>118</v>
      </c>
      <c r="M119" s="96" t="s">
        <v>742</v>
      </c>
      <c r="N119" s="102" t="s">
        <v>772</v>
      </c>
      <c r="O119" s="97" t="s">
        <v>773</v>
      </c>
      <c r="P119" s="98" t="s">
        <v>30</v>
      </c>
      <c r="Q119" s="258" t="s">
        <v>1854</v>
      </c>
    </row>
    <row r="120" spans="1:17" ht="20.25">
      <c r="A120">
        <v>119</v>
      </c>
      <c r="B120" s="231" t="s">
        <v>68</v>
      </c>
      <c r="C120" s="6" t="s">
        <v>148</v>
      </c>
      <c r="E120" t="str">
        <f>IFERROR(INDEX(M:M, MATCH(C120, O:O, 0)), "Not Found")</f>
        <v>تقاطع شارع البطحاء مع طريق الأمير محمد بن عبد الرحمن – ميدان طرابلس</v>
      </c>
      <c r="F120" t="str">
        <f>IFERROR(INDEX(N:N, MATCH(C120, O:O, 0)), "Not Found")</f>
        <v>U11-1sn2</v>
      </c>
      <c r="G120" t="str">
        <f>IFERROR(INDEX(Q:Q, MATCH(C120, O:O, 0)), "Not Found")</f>
        <v>24.610649, 46.728615</v>
      </c>
      <c r="L120">
        <v>119</v>
      </c>
      <c r="M120" s="96" t="s">
        <v>742</v>
      </c>
      <c r="N120" s="80" t="s">
        <v>774</v>
      </c>
      <c r="O120" s="97" t="s">
        <v>775</v>
      </c>
      <c r="P120" s="98" t="s">
        <v>30</v>
      </c>
      <c r="Q120" s="258" t="s">
        <v>1855</v>
      </c>
    </row>
    <row r="121" spans="1:17" ht="21" thickBot="1">
      <c r="A121">
        <v>120</v>
      </c>
      <c r="B121" s="228" t="s">
        <v>69</v>
      </c>
      <c r="C121" s="6" t="s">
        <v>450</v>
      </c>
      <c r="E121" t="str">
        <f>IFERROR(INDEX(M:M, MATCH(C121, O:O, 0)), "Not Found")</f>
        <v>مخرج 19 - الطريق الدائري الجنوبي - غرب</v>
      </c>
      <c r="F121" t="str">
        <f>IFERROR(INDEX(N:N, MATCH(C121, O:O, 0)), "Not Found")</f>
        <v>VMS EXIT 19 SB</v>
      </c>
      <c r="G121" t="str">
        <f>IFERROR(INDEX(Q:Q, MATCH(C121, O:O, 0)), "Not Found")</f>
        <v>24.706469, 46.748997</v>
      </c>
      <c r="L121">
        <v>120</v>
      </c>
      <c r="M121" s="99" t="s">
        <v>742</v>
      </c>
      <c r="N121" s="84" t="s">
        <v>776</v>
      </c>
      <c r="O121" s="100" t="s">
        <v>777</v>
      </c>
      <c r="P121" s="101" t="s">
        <v>30</v>
      </c>
      <c r="Q121" s="259" t="s">
        <v>1856</v>
      </c>
    </row>
    <row r="122" spans="1:17" ht="20.25">
      <c r="A122">
        <v>121</v>
      </c>
      <c r="B122" s="225" t="s">
        <v>70</v>
      </c>
      <c r="C122" s="6" t="s">
        <v>42</v>
      </c>
      <c r="E122" t="str">
        <f>IFERROR(INDEX(M:M, MATCH(C122, P:P, 0)), "Not Found")</f>
        <v>نفق الصناعية -  إمتداد الطريق الدائري الشرقي أمام شركة توزيع الغاز الطبيعي</v>
      </c>
      <c r="F122" t="str">
        <f>IFERROR(INDEX(N:N, MATCH(C122, P:P, 0)), "Not Found")</f>
        <v>INDUST_TN_NS1</v>
      </c>
      <c r="G122" t="str">
        <f>IFERROR(INDEX(Q:Q, MATCH(C122, P:P, 0)), "Not Found")</f>
        <v>24.564537, 46.896057</v>
      </c>
      <c r="L122">
        <v>121</v>
      </c>
      <c r="M122" s="93" t="s">
        <v>778</v>
      </c>
      <c r="N122" s="76" t="s">
        <v>779</v>
      </c>
      <c r="O122" s="94" t="s">
        <v>158</v>
      </c>
      <c r="P122" s="95" t="s">
        <v>1659</v>
      </c>
      <c r="Q122" s="260" t="s">
        <v>1857</v>
      </c>
    </row>
    <row r="123" spans="1:17" ht="20.25">
      <c r="A123">
        <v>122</v>
      </c>
      <c r="B123" s="230" t="s">
        <v>68</v>
      </c>
      <c r="C123" s="6" t="s">
        <v>161</v>
      </c>
      <c r="E123" t="str">
        <f>IFERROR(INDEX(M:M, MATCH(C123, O:O, 0)), "Not Found")</f>
        <v>نفق بترومين طريق الخرج  بعد شركة مياه بيرين  اتجاه الشمال</v>
      </c>
      <c r="F123" t="str">
        <f>IFERROR(INDEX(N:N, MATCH(C123, O:O, 0)), "Not Found")</f>
        <v>Petromin_TN_1</v>
      </c>
      <c r="G123" t="str">
        <f>IFERROR(INDEX(Q:Q, MATCH(C123, O:O, 0)), "Not Found")</f>
        <v>24.540857,46.877738</v>
      </c>
      <c r="L123">
        <v>122</v>
      </c>
      <c r="M123" s="96" t="s">
        <v>778</v>
      </c>
      <c r="N123" s="80" t="s">
        <v>780</v>
      </c>
      <c r="O123" s="97" t="s">
        <v>781</v>
      </c>
      <c r="P123" s="98" t="s">
        <v>1659</v>
      </c>
      <c r="Q123" s="261" t="s">
        <v>1858</v>
      </c>
    </row>
    <row r="124" spans="1:17" ht="20.25">
      <c r="A124">
        <v>123</v>
      </c>
      <c r="B124" s="226" t="s">
        <v>70</v>
      </c>
      <c r="C124" s="6" t="s">
        <v>15</v>
      </c>
      <c r="E124" t="str">
        <f>IFERROR(INDEX(M:M, MATCH(C124, P:P, 0)), "Not Found")</f>
        <v>نفق مخرج 15  تقاطع طريق الدائري الشرقي مع طريق صلاح الدين الأيوبي</v>
      </c>
      <c r="F124" t="str">
        <f>IFERROR(INDEX(N:N, MATCH(C124, P:P, 0)), "Not Found")</f>
        <v>EX15_TN_SN1</v>
      </c>
      <c r="G124" t="str">
        <f>IFERROR(INDEX(Q:Q, MATCH(C124, P:P, 0)), "Not Found")</f>
        <v>24.679366, 46.777790</v>
      </c>
      <c r="L124">
        <v>123</v>
      </c>
      <c r="M124" s="96" t="s">
        <v>778</v>
      </c>
      <c r="N124" s="80" t="s">
        <v>782</v>
      </c>
      <c r="O124" s="97" t="s">
        <v>783</v>
      </c>
      <c r="P124" s="98" t="s">
        <v>1659</v>
      </c>
      <c r="Q124" s="261" t="s">
        <v>1859</v>
      </c>
    </row>
    <row r="125" spans="1:17" ht="20.25">
      <c r="A125">
        <v>124</v>
      </c>
      <c r="B125" s="230" t="s">
        <v>68</v>
      </c>
      <c r="C125" s="6" t="s">
        <v>149</v>
      </c>
      <c r="E125" t="str">
        <f>IFERROR(INDEX(M:M, MATCH(C125, O:O, 0)), "Not Found")</f>
        <v>تقاطع طريق الأمير سعد بن عبد الرحمن الأول مع طريق هارون الرشيد</v>
      </c>
      <c r="F125" t="str">
        <f>IFERROR(INDEX(N:N, MATCH(C125, O:O, 0)), "Not Found")</f>
        <v>U20-EW-1</v>
      </c>
      <c r="G125" t="str">
        <f>IFERROR(INDEX(Q:Q, MATCH(C125, O:O, 0)), "Not Found")</f>
        <v>24.686498, 46.796510</v>
      </c>
      <c r="L125">
        <v>124</v>
      </c>
      <c r="M125" s="96" t="s">
        <v>778</v>
      </c>
      <c r="N125" s="80" t="s">
        <v>784</v>
      </c>
      <c r="O125" s="97" t="s">
        <v>785</v>
      </c>
      <c r="P125" s="98" t="s">
        <v>1659</v>
      </c>
      <c r="Q125" s="261" t="s">
        <v>1860</v>
      </c>
    </row>
    <row r="126" spans="1:17" ht="20.25">
      <c r="A126">
        <v>125</v>
      </c>
      <c r="B126" s="226" t="s">
        <v>70</v>
      </c>
      <c r="C126" s="291" t="s">
        <v>13</v>
      </c>
      <c r="E126" t="str">
        <f>IFERROR(INDEX(M:M, MATCH(C126, P:P, 0)), "Not Found")</f>
        <v>نفق تقاطع طريق الدائري الشرقي مع طريق المدينة المنورة (مخرج17)</v>
      </c>
      <c r="F126" t="str">
        <f>IFERROR(INDEX(N:N, MATCH(C126,P:P, 0)), "Not Found")</f>
        <v>EX17_TN_SN1</v>
      </c>
      <c r="G126" t="str">
        <f>IFERROR(INDEX(Q:Q, MATCH(C126, P:P, 0)), "Not Found")</f>
        <v>24.653228, 46.792334</v>
      </c>
      <c r="L126">
        <v>125</v>
      </c>
      <c r="M126" s="96" t="s">
        <v>778</v>
      </c>
      <c r="N126" s="80" t="s">
        <v>786</v>
      </c>
      <c r="O126" s="97" t="s">
        <v>787</v>
      </c>
      <c r="P126" s="98" t="s">
        <v>1659</v>
      </c>
      <c r="Q126" s="261" t="s">
        <v>1861</v>
      </c>
    </row>
    <row r="127" spans="1:17" ht="20.25">
      <c r="A127">
        <v>126</v>
      </c>
      <c r="B127" s="230" t="s">
        <v>68</v>
      </c>
      <c r="C127" s="6" t="s">
        <v>107</v>
      </c>
      <c r="E127" t="str">
        <f t="shared" ref="E127:E132" si="16">IFERROR(INDEX(M:M, MATCH(C127, O:O, 0)), "Not Found")</f>
        <v>نفق تقاطع طريق الدائري الشرقي مع طريق المدينة المنورة (مخرج17)</v>
      </c>
      <c r="F127" t="str">
        <f t="shared" ref="F127:F132" si="17">IFERROR(INDEX(N:N, MATCH(C127, O:O, 0)), "Not Found")</f>
        <v>EX17_TN_SN1</v>
      </c>
      <c r="G127" t="str">
        <f t="shared" ref="G127:G132" si="18">IFERROR(INDEX(Q:Q, MATCH(C127, O:O, 0)), "Not Found")</f>
        <v>24.653228, 46.792334</v>
      </c>
      <c r="L127">
        <v>126</v>
      </c>
      <c r="M127" s="96" t="s">
        <v>778</v>
      </c>
      <c r="N127" s="80" t="s">
        <v>788</v>
      </c>
      <c r="O127" s="97" t="s">
        <v>789</v>
      </c>
      <c r="P127" s="98" t="s">
        <v>1659</v>
      </c>
      <c r="Q127" s="261" t="s">
        <v>1862</v>
      </c>
    </row>
    <row r="128" spans="1:17" ht="20.25">
      <c r="A128">
        <v>127</v>
      </c>
      <c r="B128" s="231" t="s">
        <v>68</v>
      </c>
      <c r="C128" s="6" t="s">
        <v>136</v>
      </c>
      <c r="E128" t="str">
        <f t="shared" si="16"/>
        <v>الجسر المعلق</v>
      </c>
      <c r="F128" t="str">
        <f t="shared" si="17"/>
        <v>Jasar_pole2_S1</v>
      </c>
      <c r="G128" t="str">
        <f t="shared" si="18"/>
        <v>24.614449, 46.583522</v>
      </c>
      <c r="L128">
        <v>127</v>
      </c>
      <c r="M128" s="96" t="s">
        <v>778</v>
      </c>
      <c r="N128" s="80" t="s">
        <v>790</v>
      </c>
      <c r="O128" s="97" t="s">
        <v>791</v>
      </c>
      <c r="P128" s="98" t="s">
        <v>1659</v>
      </c>
      <c r="Q128" s="261" t="s">
        <v>1863</v>
      </c>
    </row>
    <row r="129" spans="1:17" ht="20.25">
      <c r="A129">
        <v>128</v>
      </c>
      <c r="B129" s="231" t="s">
        <v>68</v>
      </c>
      <c r="C129" s="6" t="s">
        <v>114</v>
      </c>
      <c r="E129" t="str">
        <f t="shared" si="16"/>
        <v>مخرج 5 الى 6 - الدائري الشمالي - شرق - جانتري (2)</v>
      </c>
      <c r="F129" t="str">
        <f t="shared" si="17"/>
        <v>EX5TO6-E-2</v>
      </c>
      <c r="G129" t="str">
        <f t="shared" si="18"/>
        <v>24.775587, 46.682076</v>
      </c>
      <c r="L129">
        <v>128</v>
      </c>
      <c r="M129" s="96" t="s">
        <v>778</v>
      </c>
      <c r="N129" s="80" t="s">
        <v>792</v>
      </c>
      <c r="O129" s="97" t="s">
        <v>793</v>
      </c>
      <c r="P129" s="98" t="s">
        <v>1659</v>
      </c>
      <c r="Q129" s="261" t="s">
        <v>1864</v>
      </c>
    </row>
    <row r="130" spans="1:17" ht="20.25">
      <c r="A130">
        <v>129</v>
      </c>
      <c r="B130" s="231" t="s">
        <v>68</v>
      </c>
      <c r="C130" s="6" t="s">
        <v>150</v>
      </c>
      <c r="E130" t="str">
        <f t="shared" si="16"/>
        <v>تقاطع طريق الأمير تركي بن عبد العزيز الأول مع طريق الأمير محمد بن عبد العزيز</v>
      </c>
      <c r="F130" t="str">
        <f t="shared" si="17"/>
        <v>U22_SN-2</v>
      </c>
      <c r="G130" t="str">
        <f t="shared" si="18"/>
        <v>24.688267, 46.663201</v>
      </c>
      <c r="L130">
        <v>129</v>
      </c>
      <c r="M130" s="96" t="s">
        <v>778</v>
      </c>
      <c r="N130" s="80" t="s">
        <v>794</v>
      </c>
      <c r="O130" s="97" t="s">
        <v>795</v>
      </c>
      <c r="P130" s="98" t="s">
        <v>1659</v>
      </c>
      <c r="Q130" s="261" t="s">
        <v>1859</v>
      </c>
    </row>
    <row r="131" spans="1:17" ht="20.25">
      <c r="A131">
        <v>130</v>
      </c>
      <c r="B131" s="231" t="s">
        <v>68</v>
      </c>
      <c r="C131" s="6" t="s">
        <v>127</v>
      </c>
      <c r="E131" t="str">
        <f t="shared" si="16"/>
        <v>تقاطع طريق الإمام سعود مع طريق أبي بكر الصديق</v>
      </c>
      <c r="F131" t="str">
        <f t="shared" si="17"/>
        <v>U13-G-EW</v>
      </c>
      <c r="G131" t="str">
        <f t="shared" si="18"/>
        <v>24.762225, 46.697203</v>
      </c>
      <c r="L131">
        <v>130</v>
      </c>
      <c r="M131" s="96" t="s">
        <v>778</v>
      </c>
      <c r="N131" s="80" t="s">
        <v>796</v>
      </c>
      <c r="O131" s="97" t="s">
        <v>797</v>
      </c>
      <c r="P131" s="98" t="s">
        <v>1659</v>
      </c>
      <c r="Q131" s="261" t="s">
        <v>1865</v>
      </c>
    </row>
    <row r="132" spans="1:17" ht="20.25">
      <c r="A132">
        <v>131</v>
      </c>
      <c r="B132" s="228" t="s">
        <v>69</v>
      </c>
      <c r="C132" s="6" t="s">
        <v>450</v>
      </c>
      <c r="E132" t="str">
        <f t="shared" si="16"/>
        <v>مخرج 19 - الطريق الدائري الجنوبي - غرب</v>
      </c>
      <c r="F132" t="str">
        <f t="shared" si="17"/>
        <v>VMS EXIT 19 SB</v>
      </c>
      <c r="G132" t="str">
        <f t="shared" si="18"/>
        <v>24.706469, 46.748997</v>
      </c>
      <c r="L132">
        <v>131</v>
      </c>
      <c r="M132" s="96" t="s">
        <v>778</v>
      </c>
      <c r="N132" s="80" t="s">
        <v>798</v>
      </c>
      <c r="O132" s="97" t="s">
        <v>799</v>
      </c>
      <c r="P132" s="98" t="s">
        <v>1659</v>
      </c>
      <c r="Q132" s="261" t="s">
        <v>1866</v>
      </c>
    </row>
    <row r="133" spans="1:17" ht="20.25">
      <c r="A133">
        <v>132</v>
      </c>
      <c r="B133" s="225" t="s">
        <v>70</v>
      </c>
      <c r="C133" s="291" t="s">
        <v>1675</v>
      </c>
      <c r="E133" t="str">
        <f>IFERROR(INDEX(M:M, MATCH(C133, P:P, 0)), "Not Found")</f>
        <v>نفق تقاطع الطريق الدائري الشرقي مع طريق الملك عبدالله</v>
      </c>
      <c r="F133" t="str">
        <f>IFERROR(INDEX(N:N, MATCH(C133,P:P, 0)), "Not Found")</f>
        <v>EX10_TN_NS</v>
      </c>
      <c r="G133" t="str">
        <f>IFERROR(INDEX(Q:Q, MATCH(C133, P:P, 0)), "Not Found")</f>
        <v>24.759514, 46.738713</v>
      </c>
      <c r="L133">
        <v>132</v>
      </c>
      <c r="M133" s="96" t="s">
        <v>778</v>
      </c>
      <c r="N133" s="80" t="s">
        <v>800</v>
      </c>
      <c r="O133" s="97" t="s">
        <v>801</v>
      </c>
      <c r="P133" s="98" t="s">
        <v>1659</v>
      </c>
      <c r="Q133" s="261" t="s">
        <v>1867</v>
      </c>
    </row>
    <row r="134" spans="1:17" ht="20.25">
      <c r="A134">
        <v>133</v>
      </c>
      <c r="B134" s="230" t="s">
        <v>68</v>
      </c>
      <c r="C134" s="224" t="s">
        <v>104</v>
      </c>
      <c r="E134" t="str">
        <f>IFERROR(INDEX(M:M, MATCH(C134, O:O, 0)), "Not Found")</f>
        <v>Not Found</v>
      </c>
      <c r="F134" t="str">
        <f>IFERROR(INDEX(N:N, MATCH(C134, O:O, 0)), "Not Found")</f>
        <v>Not Found</v>
      </c>
      <c r="G134" t="str">
        <f>IFERROR(INDEX(Q:Q, MATCH(C134, O:O, 0)), "Not Found")</f>
        <v>Not Found</v>
      </c>
      <c r="L134">
        <v>133</v>
      </c>
      <c r="M134" s="96" t="s">
        <v>778</v>
      </c>
      <c r="N134" s="80" t="s">
        <v>802</v>
      </c>
      <c r="O134" s="97" t="s">
        <v>803</v>
      </c>
      <c r="P134" s="98" t="s">
        <v>1659</v>
      </c>
      <c r="Q134" s="261" t="s">
        <v>1860</v>
      </c>
    </row>
    <row r="135" spans="1:17" ht="20.25">
      <c r="A135">
        <v>134</v>
      </c>
      <c r="B135" s="231" t="s">
        <v>68</v>
      </c>
      <c r="C135" s="6" t="s">
        <v>127</v>
      </c>
      <c r="E135" t="str">
        <f>IFERROR(INDEX(M:M, MATCH(C135, O:O, 0)), "Not Found")</f>
        <v>تقاطع طريق الإمام سعود مع طريق أبي بكر الصديق</v>
      </c>
      <c r="F135" t="str">
        <f>IFERROR(INDEX(N:N, MATCH(C135, O:O, 0)), "Not Found")</f>
        <v>U13-G-EW</v>
      </c>
      <c r="G135" t="str">
        <f>IFERROR(INDEX(Q:Q, MATCH(C135, O:O, 0)), "Not Found")</f>
        <v>24.762225, 46.697203</v>
      </c>
      <c r="L135">
        <v>134</v>
      </c>
      <c r="M135" s="96" t="s">
        <v>778</v>
      </c>
      <c r="N135" s="80" t="s">
        <v>804</v>
      </c>
      <c r="O135" s="97" t="s">
        <v>805</v>
      </c>
      <c r="P135" s="98" t="s">
        <v>1659</v>
      </c>
      <c r="Q135" s="261" t="s">
        <v>1868</v>
      </c>
    </row>
    <row r="136" spans="1:17" ht="20.25">
      <c r="A136">
        <v>135</v>
      </c>
      <c r="B136" s="226" t="s">
        <v>70</v>
      </c>
      <c r="C136" s="291" t="s">
        <v>83</v>
      </c>
      <c r="E136" t="str">
        <f>IFERROR(INDEX(M:M, MATCH(C136, P:P, 0)), "Not Found")</f>
        <v xml:space="preserve">تقاطع طريق الخرج مع طريق عمر بن الخطاب – ميدان العمل </v>
      </c>
      <c r="F136" t="str">
        <f>IFERROR(INDEX(N:N, MATCH(C136,P:P, 0)), "Not Found")</f>
        <v>U6-31-ew-1</v>
      </c>
      <c r="G136" t="str">
        <f>IFERROR(INDEX(Q:Q, MATCH(C136, P:P, 0)), "Not Found")</f>
        <v>24.649564, 46.734175</v>
      </c>
      <c r="L136">
        <v>135</v>
      </c>
      <c r="M136" s="96" t="s">
        <v>778</v>
      </c>
      <c r="N136" s="80" t="s">
        <v>806</v>
      </c>
      <c r="O136" s="97" t="s">
        <v>807</v>
      </c>
      <c r="P136" s="98" t="s">
        <v>1659</v>
      </c>
      <c r="Q136" s="261" t="s">
        <v>1869</v>
      </c>
    </row>
    <row r="137" spans="1:17" ht="20.25">
      <c r="A137">
        <v>136</v>
      </c>
      <c r="B137" s="225" t="s">
        <v>70</v>
      </c>
      <c r="C137" s="6" t="s">
        <v>49</v>
      </c>
      <c r="E137" t="str">
        <f>IFERROR(INDEX(M:M, MATCH(C137, P:P, 0)), "Not Found")</f>
        <v>نفق بطريق مكة المكرمة بجوار وزارة الحرس الوطني</v>
      </c>
      <c r="F137" t="str">
        <f>IFERROR(INDEX(N:N, MATCH(C137, P:P, 0)), "Not Found")</f>
        <v>NGuard_TN_EW</v>
      </c>
      <c r="G137" t="str">
        <f>IFERROR(INDEX(Q:Q, MATCH(C137, P:P, 0)), "Not Found")</f>
        <v>24.710882, 46.755708</v>
      </c>
      <c r="L137">
        <v>136</v>
      </c>
      <c r="M137" s="96" t="s">
        <v>778</v>
      </c>
      <c r="N137" s="80" t="s">
        <v>808</v>
      </c>
      <c r="O137" s="97" t="s">
        <v>809</v>
      </c>
      <c r="P137" s="98" t="s">
        <v>1659</v>
      </c>
      <c r="Q137" s="261" t="s">
        <v>1870</v>
      </c>
    </row>
    <row r="138" spans="1:17" ht="21" thickBot="1">
      <c r="A138">
        <v>137</v>
      </c>
      <c r="B138" s="230" t="s">
        <v>68</v>
      </c>
      <c r="C138" s="6" t="s">
        <v>136</v>
      </c>
      <c r="E138" t="str">
        <f>IFERROR(INDEX(M:M, MATCH(C138, O:O, 0)), "Not Found")</f>
        <v>الجسر المعلق</v>
      </c>
      <c r="F138" t="str">
        <f>IFERROR(INDEX(N:N, MATCH(C138, O:O, 0)), "Not Found")</f>
        <v>Jasar_pole2_S1</v>
      </c>
      <c r="G138" t="str">
        <f>IFERROR(INDEX(Q:Q, MATCH(C138, O:O, 0)), "Not Found")</f>
        <v>24.614449, 46.583522</v>
      </c>
      <c r="L138">
        <v>137</v>
      </c>
      <c r="M138" s="99" t="s">
        <v>778</v>
      </c>
      <c r="N138" s="84" t="s">
        <v>810</v>
      </c>
      <c r="O138" s="100" t="s">
        <v>811</v>
      </c>
      <c r="P138" s="101" t="s">
        <v>1659</v>
      </c>
      <c r="Q138" s="262" t="s">
        <v>1871</v>
      </c>
    </row>
    <row r="139" spans="1:17" ht="20.25">
      <c r="A139">
        <v>138</v>
      </c>
      <c r="B139" s="228" t="s">
        <v>69</v>
      </c>
      <c r="C139" s="6" t="s">
        <v>408</v>
      </c>
      <c r="E139" t="str">
        <f>IFERROR(INDEX(M:M, MATCH(C139, O:O, 0)), "Not Found")</f>
        <v>مخرج 4 - الدائري الشمالي - غرب</v>
      </c>
      <c r="F139" t="str">
        <f>IFERROR(INDEX(N:N, MATCH(C139, O:O, 0)), "Not Found")</f>
        <v>VMS EXIT 4 WB</v>
      </c>
      <c r="G139" t="str">
        <f>IFERROR(INDEX(Q:Q, MATCH(C139, O:O, 0)), "Not Found")</f>
        <v>24.784500°, 46.635444°</v>
      </c>
      <c r="L139">
        <v>138</v>
      </c>
      <c r="M139" s="87" t="s">
        <v>812</v>
      </c>
      <c r="N139" s="76" t="s">
        <v>813</v>
      </c>
      <c r="O139" s="88" t="s">
        <v>141</v>
      </c>
      <c r="P139" s="76" t="s">
        <v>19</v>
      </c>
      <c r="Q139" s="251" t="s">
        <v>1872</v>
      </c>
    </row>
    <row r="140" spans="1:17" ht="20.25">
      <c r="A140">
        <v>139</v>
      </c>
      <c r="B140" s="229" t="s">
        <v>69</v>
      </c>
      <c r="C140" s="6" t="s">
        <v>395</v>
      </c>
      <c r="E140" t="str">
        <f>IFERROR(INDEX(M:M, MATCH(C140, O:O, 0)), "Not Found")</f>
        <v>طريق مكه المكرمة - التخصصي - شرق</v>
      </c>
      <c r="F140" t="str">
        <f>IFERROR(INDEX(N:N, MATCH(C140, O:O, 0)), "Not Found")</f>
        <v>VMS TAKHASUSI EB</v>
      </c>
      <c r="G140" t="str">
        <f>IFERROR(INDEX(Q:Q, MATCH(C140, O:O, 0)), "Not Found")</f>
        <v xml:space="preserve"> 24.773165° -  46.731979°</v>
      </c>
      <c r="L140">
        <v>139</v>
      </c>
      <c r="M140" s="89" t="s">
        <v>812</v>
      </c>
      <c r="N140" s="80" t="s">
        <v>814</v>
      </c>
      <c r="O140" s="90" t="s">
        <v>815</v>
      </c>
      <c r="P140" s="80" t="s">
        <v>19</v>
      </c>
      <c r="Q140" s="258" t="s">
        <v>1873</v>
      </c>
    </row>
    <row r="141" spans="1:17" ht="20.25">
      <c r="A141">
        <v>140</v>
      </c>
      <c r="B141" s="230" t="s">
        <v>68</v>
      </c>
      <c r="C141" s="6" t="s">
        <v>151</v>
      </c>
      <c r="E141" t="str">
        <f>IFERROR(INDEX(M:M, MATCH(C141, O:O, 0)), "Not Found")</f>
        <v>عمود طريق الملك فهد -  مكة المكرمة - شمال</v>
      </c>
      <c r="F141" t="str">
        <f>IFERROR(INDEX(N:N, MATCH(C141, O:O, 0)), "Not Found")</f>
        <v>KFAH-MAK-POLE-N</v>
      </c>
      <c r="G141" t="str">
        <f>IFERROR(INDEX(Q:Q, MATCH(C141, O:O, 0)), "Not Found")</f>
        <v>24.679068, 46.688919</v>
      </c>
      <c r="L141">
        <v>140</v>
      </c>
      <c r="M141" s="89" t="s">
        <v>812</v>
      </c>
      <c r="N141" s="80" t="s">
        <v>816</v>
      </c>
      <c r="O141" s="90" t="s">
        <v>817</v>
      </c>
      <c r="P141" s="80" t="s">
        <v>19</v>
      </c>
      <c r="Q141" s="258" t="s">
        <v>1874</v>
      </c>
    </row>
    <row r="142" spans="1:17" ht="20.25">
      <c r="A142">
        <v>141</v>
      </c>
      <c r="B142" s="226" t="s">
        <v>70</v>
      </c>
      <c r="C142" s="224" t="s">
        <v>20</v>
      </c>
      <c r="E142" t="str">
        <f>IFERROR(INDEX(M:M, MATCH(C142, P:P, 0)), "Not Found")</f>
        <v>Not Found</v>
      </c>
      <c r="F142" t="str">
        <f>IFERROR(INDEX(N:N, MATCH(C142, P:P, 0)), "Not Found")</f>
        <v>Not Found</v>
      </c>
      <c r="G142" t="str">
        <f>IFERROR(INDEX(Q:Q, MATCH(C142, O:O, 0)), "Not Found")</f>
        <v>Not Found</v>
      </c>
      <c r="L142">
        <v>141</v>
      </c>
      <c r="M142" s="89" t="s">
        <v>812</v>
      </c>
      <c r="N142" s="80" t="s">
        <v>818</v>
      </c>
      <c r="O142" s="90" t="s">
        <v>819</v>
      </c>
      <c r="P142" s="80" t="s">
        <v>19</v>
      </c>
      <c r="Q142" s="258" t="s">
        <v>1875</v>
      </c>
    </row>
    <row r="143" spans="1:17" ht="20.25">
      <c r="A143">
        <v>142</v>
      </c>
      <c r="B143" s="225" t="s">
        <v>70</v>
      </c>
      <c r="C143" s="291" t="s">
        <v>50</v>
      </c>
      <c r="E143" t="str">
        <f>IFERROR(INDEX(M:M, MATCH(C143, P:P, 0)), "Not Found")</f>
        <v xml:space="preserve">  نفق على طريق العروبة بعد طريق الملك خالد (مستشفى العيون)</v>
      </c>
      <c r="F143" t="str">
        <f>IFERROR(INDEX(N:N, MATCH(C143,P:P, 0)), "Not Found")</f>
        <v>Oyon_Tunnel_EW</v>
      </c>
      <c r="G143" t="str">
        <f>IFERROR(INDEX(Q:Q, MATCH(C143, P:P, 0)), "Not Found")</f>
        <v>24.696328, 46.634785</v>
      </c>
      <c r="L143">
        <v>142</v>
      </c>
      <c r="M143" s="89" t="s">
        <v>812</v>
      </c>
      <c r="N143" s="80" t="s">
        <v>820</v>
      </c>
      <c r="O143" s="90" t="s">
        <v>821</v>
      </c>
      <c r="P143" s="80" t="s">
        <v>19</v>
      </c>
      <c r="Q143" s="263" t="s">
        <v>1876</v>
      </c>
    </row>
    <row r="144" spans="1:17" ht="20.25">
      <c r="A144">
        <v>143</v>
      </c>
      <c r="B144" s="229" t="s">
        <v>69</v>
      </c>
      <c r="C144" s="6" t="s">
        <v>395</v>
      </c>
      <c r="E144" t="str">
        <f t="shared" ref="E144:E149" si="19">IFERROR(INDEX(M:M, MATCH(C144, O:O, 0)), "Not Found")</f>
        <v>طريق مكه المكرمة - التخصصي - شرق</v>
      </c>
      <c r="F144" t="str">
        <f t="shared" ref="F144:F149" si="20">IFERROR(INDEX(N:N, MATCH(C144, O:O, 0)), "Not Found")</f>
        <v>VMS TAKHASUSI EB</v>
      </c>
      <c r="G144" t="str">
        <f t="shared" ref="G144:G149" si="21">IFERROR(INDEX(Q:Q, MATCH(C144, O:O, 0)), "Not Found")</f>
        <v xml:space="preserve"> 24.773165° -  46.731979°</v>
      </c>
      <c r="L144">
        <v>143</v>
      </c>
      <c r="M144" s="89" t="s">
        <v>812</v>
      </c>
      <c r="N144" s="80" t="s">
        <v>822</v>
      </c>
      <c r="O144" s="90" t="s">
        <v>823</v>
      </c>
      <c r="P144" s="80" t="s">
        <v>19</v>
      </c>
      <c r="Q144" s="258" t="s">
        <v>1877</v>
      </c>
    </row>
    <row r="145" spans="1:17" ht="20.25">
      <c r="A145">
        <v>144</v>
      </c>
      <c r="B145" s="230" t="s">
        <v>68</v>
      </c>
      <c r="C145" s="224" t="s">
        <v>104</v>
      </c>
      <c r="E145" t="str">
        <f t="shared" si="19"/>
        <v>Not Found</v>
      </c>
      <c r="F145" t="str">
        <f t="shared" si="20"/>
        <v>Not Found</v>
      </c>
      <c r="G145" t="str">
        <f t="shared" si="21"/>
        <v>Not Found</v>
      </c>
      <c r="L145">
        <v>144</v>
      </c>
      <c r="M145" s="89" t="s">
        <v>812</v>
      </c>
      <c r="N145" s="80" t="s">
        <v>824</v>
      </c>
      <c r="O145" s="90" t="s">
        <v>825</v>
      </c>
      <c r="P145" s="80" t="s">
        <v>19</v>
      </c>
      <c r="Q145" s="258" t="s">
        <v>1876</v>
      </c>
    </row>
    <row r="146" spans="1:17" ht="20.25">
      <c r="A146">
        <v>145</v>
      </c>
      <c r="B146" s="231" t="s">
        <v>68</v>
      </c>
      <c r="C146" s="6" t="s">
        <v>127</v>
      </c>
      <c r="E146" t="str">
        <f t="shared" si="19"/>
        <v>تقاطع طريق الإمام سعود مع طريق أبي بكر الصديق</v>
      </c>
      <c r="F146" t="str">
        <f t="shared" si="20"/>
        <v>U13-G-EW</v>
      </c>
      <c r="G146" t="str">
        <f t="shared" si="21"/>
        <v>24.762225, 46.697203</v>
      </c>
      <c r="L146">
        <v>145</v>
      </c>
      <c r="M146" s="89" t="s">
        <v>812</v>
      </c>
      <c r="N146" s="80" t="s">
        <v>826</v>
      </c>
      <c r="O146" s="90" t="s">
        <v>827</v>
      </c>
      <c r="P146" s="80" t="s">
        <v>19</v>
      </c>
      <c r="Q146" s="258" t="s">
        <v>1878</v>
      </c>
    </row>
    <row r="147" spans="1:17" ht="20.25">
      <c r="A147">
        <v>146</v>
      </c>
      <c r="B147" s="231" t="s">
        <v>68</v>
      </c>
      <c r="C147" s="224" t="s">
        <v>104</v>
      </c>
      <c r="E147" t="str">
        <f t="shared" si="19"/>
        <v>Not Found</v>
      </c>
      <c r="F147" t="str">
        <f t="shared" si="20"/>
        <v>Not Found</v>
      </c>
      <c r="G147" t="str">
        <f t="shared" si="21"/>
        <v>Not Found</v>
      </c>
      <c r="L147">
        <v>146</v>
      </c>
      <c r="M147" s="89" t="s">
        <v>812</v>
      </c>
      <c r="N147" s="80" t="s">
        <v>828</v>
      </c>
      <c r="O147" s="90" t="s">
        <v>829</v>
      </c>
      <c r="P147" s="80" t="s">
        <v>19</v>
      </c>
      <c r="Q147" s="258" t="s">
        <v>1879</v>
      </c>
    </row>
    <row r="148" spans="1:17" ht="21" thickBot="1">
      <c r="A148">
        <v>147</v>
      </c>
      <c r="B148" s="231" t="s">
        <v>68</v>
      </c>
      <c r="C148" s="6" t="s">
        <v>127</v>
      </c>
      <c r="E148" t="str">
        <f t="shared" si="19"/>
        <v>تقاطع طريق الإمام سعود مع طريق أبي بكر الصديق</v>
      </c>
      <c r="F148" t="str">
        <f t="shared" si="20"/>
        <v>U13-G-EW</v>
      </c>
      <c r="G148" t="str">
        <f t="shared" si="21"/>
        <v>24.762225, 46.697203</v>
      </c>
      <c r="L148">
        <v>147</v>
      </c>
      <c r="M148" s="91" t="s">
        <v>812</v>
      </c>
      <c r="N148" s="84" t="s">
        <v>830</v>
      </c>
      <c r="O148" s="92" t="s">
        <v>831</v>
      </c>
      <c r="P148" s="84" t="s">
        <v>19</v>
      </c>
      <c r="Q148" s="259" t="s">
        <v>1880</v>
      </c>
    </row>
    <row r="149" spans="1:17" ht="20.25">
      <c r="A149">
        <v>148</v>
      </c>
      <c r="B149" s="231" t="s">
        <v>68</v>
      </c>
      <c r="C149" s="224" t="s">
        <v>104</v>
      </c>
      <c r="E149" t="str">
        <f t="shared" si="19"/>
        <v>Not Found</v>
      </c>
      <c r="F149" t="str">
        <f t="shared" si="20"/>
        <v>Not Found</v>
      </c>
      <c r="G149" t="str">
        <f t="shared" si="21"/>
        <v>Not Found</v>
      </c>
      <c r="L149">
        <v>148</v>
      </c>
      <c r="M149" s="93" t="s">
        <v>265</v>
      </c>
      <c r="N149" s="76" t="s">
        <v>832</v>
      </c>
      <c r="O149" s="94" t="s">
        <v>165</v>
      </c>
      <c r="P149" s="95" t="s">
        <v>23</v>
      </c>
      <c r="Q149" s="257" t="s">
        <v>1881</v>
      </c>
    </row>
    <row r="150" spans="1:17" ht="20.25">
      <c r="A150">
        <v>149</v>
      </c>
      <c r="B150" s="226" t="s">
        <v>70</v>
      </c>
      <c r="C150" s="6" t="s">
        <v>44</v>
      </c>
      <c r="E150" t="str">
        <f>IFERROR(INDEX(M:M, MATCH(C150, P:P, 0)), "Not Found")</f>
        <v>نفق  تقاطع الطريق الدائري الثاني مع شارع السلامه (خشم العان 4)</v>
      </c>
      <c r="F150" t="str">
        <f>IFERROR(INDEX(N:N, MATCH(C150, P:P, 0)), "Not Found")</f>
        <v>khashm4_u149A_1</v>
      </c>
      <c r="G150" t="str">
        <f>IFERROR(INDEX(Q:Q, MATCH(C150, P:P, 0)), "Not Found")</f>
        <v>46.855436‬‏, 24.743596</v>
      </c>
      <c r="L150">
        <v>149</v>
      </c>
      <c r="M150" s="96" t="s">
        <v>265</v>
      </c>
      <c r="N150" s="80" t="s">
        <v>833</v>
      </c>
      <c r="O150" s="97" t="s">
        <v>834</v>
      </c>
      <c r="P150" s="98" t="s">
        <v>23</v>
      </c>
      <c r="Q150" s="258" t="s">
        <v>1882</v>
      </c>
    </row>
    <row r="151" spans="1:17" ht="20.25">
      <c r="A151">
        <v>150</v>
      </c>
      <c r="B151" s="230" t="s">
        <v>68</v>
      </c>
      <c r="C151" s="224" t="s">
        <v>104</v>
      </c>
      <c r="E151" t="str">
        <f t="shared" ref="E151:E158" si="22">IFERROR(INDEX(M:M, MATCH(C151, O:O, 0)), "Not Found")</f>
        <v>Not Found</v>
      </c>
      <c r="F151" t="str">
        <f t="shared" ref="F151:F158" si="23">IFERROR(INDEX(N:N, MATCH(C151, O:O, 0)), "Not Found")</f>
        <v>Not Found</v>
      </c>
      <c r="G151" t="str">
        <f t="shared" ref="G151:G158" si="24">IFERROR(INDEX(Q:Q, MATCH(C151, O:O, 0)), "Not Found")</f>
        <v>Not Found</v>
      </c>
      <c r="L151">
        <v>150</v>
      </c>
      <c r="M151" s="96" t="s">
        <v>265</v>
      </c>
      <c r="N151" s="80" t="s">
        <v>835</v>
      </c>
      <c r="O151" s="97" t="s">
        <v>836</v>
      </c>
      <c r="P151" s="98" t="s">
        <v>23</v>
      </c>
      <c r="Q151" s="258" t="s">
        <v>1883</v>
      </c>
    </row>
    <row r="152" spans="1:17" ht="20.25">
      <c r="A152">
        <v>151</v>
      </c>
      <c r="B152" s="231" t="s">
        <v>68</v>
      </c>
      <c r="C152" s="6" t="s">
        <v>120</v>
      </c>
      <c r="E152" t="str">
        <f t="shared" si="22"/>
        <v>شاشة طريق الملك سلمان - عثمان بن عفان - غرب</v>
      </c>
      <c r="F152" t="str">
        <f t="shared" si="23"/>
        <v>UTHMAN-VMS-W</v>
      </c>
      <c r="G152" t="str">
        <f t="shared" si="24"/>
        <v>24.850373, 46.670314</v>
      </c>
      <c r="L152">
        <v>151</v>
      </c>
      <c r="M152" s="96" t="s">
        <v>265</v>
      </c>
      <c r="N152" s="80" t="s">
        <v>837</v>
      </c>
      <c r="O152" s="97" t="s">
        <v>838</v>
      </c>
      <c r="P152" s="98" t="s">
        <v>23</v>
      </c>
      <c r="Q152" s="258" t="s">
        <v>1881</v>
      </c>
    </row>
    <row r="153" spans="1:17" ht="21" thickBot="1">
      <c r="A153">
        <v>152</v>
      </c>
      <c r="B153" s="231" t="s">
        <v>68</v>
      </c>
      <c r="C153" s="6" t="s">
        <v>152</v>
      </c>
      <c r="E153" t="str">
        <f t="shared" si="22"/>
        <v xml:space="preserve">تقاطع طريق الخرج مع طريق عمر بن الخطاب – ميدان العمل </v>
      </c>
      <c r="F153" t="str">
        <f t="shared" si="23"/>
        <v>U6-31-ew-1</v>
      </c>
      <c r="G153" t="str">
        <f t="shared" si="24"/>
        <v>24.649564, 46.734175</v>
      </c>
      <c r="L153">
        <v>152</v>
      </c>
      <c r="M153" s="99" t="s">
        <v>265</v>
      </c>
      <c r="N153" s="84" t="s">
        <v>839</v>
      </c>
      <c r="O153" s="100" t="s">
        <v>840</v>
      </c>
      <c r="P153" s="101" t="s">
        <v>23</v>
      </c>
      <c r="Q153" s="259" t="s">
        <v>1884</v>
      </c>
    </row>
    <row r="154" spans="1:17" ht="20.25">
      <c r="A154">
        <v>153</v>
      </c>
      <c r="B154" s="231" t="s">
        <v>68</v>
      </c>
      <c r="C154" s="6" t="s">
        <v>153</v>
      </c>
      <c r="E154" t="str">
        <f t="shared" si="22"/>
        <v xml:space="preserve">تقاطع طريق الخرج مع طريق عمر بن الخطاب – ميدان العمل </v>
      </c>
      <c r="F154" t="str">
        <f t="shared" si="23"/>
        <v>U6-31-we-1</v>
      </c>
      <c r="G154" t="str">
        <f t="shared" si="24"/>
        <v>24.649198, 46.733962</v>
      </c>
      <c r="L154">
        <v>153</v>
      </c>
      <c r="M154" s="93" t="s">
        <v>841</v>
      </c>
      <c r="N154" s="76" t="s">
        <v>842</v>
      </c>
      <c r="O154" s="94" t="s">
        <v>843</v>
      </c>
      <c r="P154" s="95" t="s">
        <v>1660</v>
      </c>
      <c r="Q154" s="257" t="s">
        <v>1885</v>
      </c>
    </row>
    <row r="155" spans="1:17" ht="20.25">
      <c r="A155">
        <v>154</v>
      </c>
      <c r="B155" s="231" t="s">
        <v>68</v>
      </c>
      <c r="C155" s="6" t="s">
        <v>154</v>
      </c>
      <c r="E155" t="str">
        <f t="shared" si="22"/>
        <v xml:space="preserve">تقاطع طريق الخرج مع طريق عمر بن الخطاب – ميدان العمل </v>
      </c>
      <c r="F155" t="str">
        <f t="shared" si="23"/>
        <v>U6-31-we-3</v>
      </c>
      <c r="G155" t="str">
        <f t="shared" si="24"/>
        <v>24.649891, 46.734047</v>
      </c>
      <c r="L155">
        <v>154</v>
      </c>
      <c r="M155" s="96" t="s">
        <v>841</v>
      </c>
      <c r="N155" s="80" t="s">
        <v>844</v>
      </c>
      <c r="O155" s="97" t="s">
        <v>845</v>
      </c>
      <c r="P155" s="98" t="s">
        <v>1660</v>
      </c>
      <c r="Q155" s="258" t="s">
        <v>1886</v>
      </c>
    </row>
    <row r="156" spans="1:17" ht="20.25">
      <c r="A156">
        <v>155</v>
      </c>
      <c r="B156" s="231" t="s">
        <v>68</v>
      </c>
      <c r="C156" s="6" t="s">
        <v>127</v>
      </c>
      <c r="E156" t="str">
        <f t="shared" si="22"/>
        <v>تقاطع طريق الإمام سعود مع طريق أبي بكر الصديق</v>
      </c>
      <c r="F156" t="str">
        <f t="shared" si="23"/>
        <v>U13-G-EW</v>
      </c>
      <c r="G156" t="str">
        <f t="shared" si="24"/>
        <v>24.762225, 46.697203</v>
      </c>
      <c r="L156">
        <v>155</v>
      </c>
      <c r="M156" s="96" t="s">
        <v>841</v>
      </c>
      <c r="N156" s="80" t="s">
        <v>846</v>
      </c>
      <c r="O156" s="97" t="s">
        <v>847</v>
      </c>
      <c r="P156" s="98" t="s">
        <v>1660</v>
      </c>
      <c r="Q156" s="258" t="s">
        <v>1887</v>
      </c>
    </row>
    <row r="157" spans="1:17" ht="20.25">
      <c r="A157">
        <v>156</v>
      </c>
      <c r="B157" s="231" t="s">
        <v>68</v>
      </c>
      <c r="C157" s="6" t="s">
        <v>150</v>
      </c>
      <c r="E157" t="str">
        <f t="shared" si="22"/>
        <v>تقاطع طريق الأمير تركي بن عبد العزيز الأول مع طريق الأمير محمد بن عبد العزيز</v>
      </c>
      <c r="F157" t="str">
        <f t="shared" si="23"/>
        <v>U22_SN-2</v>
      </c>
      <c r="G157" t="str">
        <f t="shared" si="24"/>
        <v>24.688267, 46.663201</v>
      </c>
      <c r="L157">
        <v>156</v>
      </c>
      <c r="M157" s="96" t="s">
        <v>841</v>
      </c>
      <c r="N157" s="80" t="s">
        <v>848</v>
      </c>
      <c r="O157" s="97" t="s">
        <v>849</v>
      </c>
      <c r="P157" s="98" t="s">
        <v>1660</v>
      </c>
      <c r="Q157" s="258" t="s">
        <v>1887</v>
      </c>
    </row>
    <row r="158" spans="1:17" ht="20.25">
      <c r="A158">
        <v>157</v>
      </c>
      <c r="B158" s="231" t="s">
        <v>68</v>
      </c>
      <c r="C158" s="6" t="s">
        <v>120</v>
      </c>
      <c r="E158" t="str">
        <f t="shared" si="22"/>
        <v>شاشة طريق الملك سلمان - عثمان بن عفان - غرب</v>
      </c>
      <c r="F158" t="str">
        <f t="shared" si="23"/>
        <v>UTHMAN-VMS-W</v>
      </c>
      <c r="G158" t="str">
        <f t="shared" si="24"/>
        <v>24.850373, 46.670314</v>
      </c>
      <c r="L158">
        <v>157</v>
      </c>
      <c r="M158" s="96" t="s">
        <v>841</v>
      </c>
      <c r="N158" s="80" t="s">
        <v>850</v>
      </c>
      <c r="O158" s="97" t="s">
        <v>851</v>
      </c>
      <c r="P158" s="98" t="s">
        <v>1660</v>
      </c>
      <c r="Q158" s="258" t="s">
        <v>1887</v>
      </c>
    </row>
    <row r="159" spans="1:17" ht="20.25">
      <c r="A159">
        <v>158</v>
      </c>
      <c r="B159" s="226" t="s">
        <v>70</v>
      </c>
      <c r="C159" s="6" t="s">
        <v>22</v>
      </c>
      <c r="E159" t="str">
        <f>IFERROR(INDEX(M:M, MATCH(C159, P:P, 0)), "Not Found")</f>
        <v>نفق طريق الملك فهد تقاطع طريق مكة المكرمة</v>
      </c>
      <c r="F159" t="str">
        <f>IFERROR(INDEX(N:N, MATCH(C159, P:P, 0)), "Not Found")</f>
        <v>FAHD_MAK_TN_NS</v>
      </c>
      <c r="G159" t="str">
        <f>IFERROR(INDEX(Q:Q, MATCH(C159, P:P, 0)), "Not Found")</f>
        <v>24.678931, 46.688555</v>
      </c>
      <c r="L159">
        <v>158</v>
      </c>
      <c r="M159" s="96" t="s">
        <v>841</v>
      </c>
      <c r="N159" s="80" t="s">
        <v>852</v>
      </c>
      <c r="O159" s="97" t="s">
        <v>175</v>
      </c>
      <c r="P159" s="98" t="s">
        <v>54</v>
      </c>
      <c r="Q159" s="264" t="s">
        <v>1888</v>
      </c>
    </row>
    <row r="160" spans="1:17" ht="20.25">
      <c r="A160">
        <v>159</v>
      </c>
      <c r="B160" s="230" t="s">
        <v>68</v>
      </c>
      <c r="C160" s="6" t="s">
        <v>153</v>
      </c>
      <c r="E160" t="str">
        <f t="shared" ref="E160:E168" si="25">IFERROR(INDEX(M:M, MATCH(C160, O:O, 0)), "Not Found")</f>
        <v xml:space="preserve">تقاطع طريق الخرج مع طريق عمر بن الخطاب – ميدان العمل </v>
      </c>
      <c r="F160" t="str">
        <f t="shared" ref="F160:F168" si="26">IFERROR(INDEX(N:N, MATCH(C160, O:O, 0)), "Not Found")</f>
        <v>U6-31-we-1</v>
      </c>
      <c r="G160" t="str">
        <f t="shared" ref="G160:G168" si="27">IFERROR(INDEX(Q:Q, MATCH(C160, O:O, 0)), "Not Found")</f>
        <v>24.649198, 46.733962</v>
      </c>
      <c r="L160">
        <v>159</v>
      </c>
      <c r="M160" s="96" t="s">
        <v>841</v>
      </c>
      <c r="N160" s="80" t="s">
        <v>853</v>
      </c>
      <c r="O160" s="97" t="s">
        <v>854</v>
      </c>
      <c r="P160" s="98" t="s">
        <v>54</v>
      </c>
      <c r="Q160" s="264" t="s">
        <v>1889</v>
      </c>
    </row>
    <row r="161" spans="1:17" ht="20.25">
      <c r="A161">
        <v>160</v>
      </c>
      <c r="B161" s="231" t="s">
        <v>68</v>
      </c>
      <c r="C161" s="6" t="s">
        <v>127</v>
      </c>
      <c r="E161" t="str">
        <f t="shared" si="25"/>
        <v>تقاطع طريق الإمام سعود مع طريق أبي بكر الصديق</v>
      </c>
      <c r="F161" t="str">
        <f t="shared" si="26"/>
        <v>U13-G-EW</v>
      </c>
      <c r="G161" t="str">
        <f t="shared" si="27"/>
        <v>24.762225, 46.697203</v>
      </c>
      <c r="L161">
        <v>160</v>
      </c>
      <c r="M161" s="96" t="s">
        <v>841</v>
      </c>
      <c r="N161" s="80" t="s">
        <v>855</v>
      </c>
      <c r="O161" s="97" t="s">
        <v>856</v>
      </c>
      <c r="P161" s="98" t="s">
        <v>54</v>
      </c>
      <c r="Q161" s="264" t="s">
        <v>1890</v>
      </c>
    </row>
    <row r="162" spans="1:17" ht="20.25">
      <c r="A162">
        <v>161</v>
      </c>
      <c r="B162" s="228" t="s">
        <v>69</v>
      </c>
      <c r="C162" s="6" t="s">
        <v>360</v>
      </c>
      <c r="E162" t="str">
        <f t="shared" si="25"/>
        <v>تقاطع طريق الامام سعود بن عبد العزيز مع الدائري الشرقي (شرق)</v>
      </c>
      <c r="F162" t="str">
        <f t="shared" si="26"/>
        <v>U18-EB</v>
      </c>
      <c r="G162" t="str">
        <f t="shared" si="27"/>
        <v>24.547139, 46.667056</v>
      </c>
      <c r="L162">
        <v>161</v>
      </c>
      <c r="M162" s="96" t="s">
        <v>841</v>
      </c>
      <c r="N162" s="80" t="s">
        <v>857</v>
      </c>
      <c r="O162" s="97" t="s">
        <v>858</v>
      </c>
      <c r="P162" s="98" t="s">
        <v>54</v>
      </c>
      <c r="Q162" s="264" t="s">
        <v>1889</v>
      </c>
    </row>
    <row r="163" spans="1:17" ht="20.25">
      <c r="A163">
        <v>162</v>
      </c>
      <c r="B163" s="229" t="s">
        <v>69</v>
      </c>
      <c r="C163" s="6" t="s">
        <v>360</v>
      </c>
      <c r="E163" t="str">
        <f t="shared" si="25"/>
        <v>تقاطع طريق الامام سعود بن عبد العزيز مع الدائري الشرقي (شرق)</v>
      </c>
      <c r="F163" t="str">
        <f t="shared" si="26"/>
        <v>U18-EB</v>
      </c>
      <c r="G163" t="str">
        <f t="shared" si="27"/>
        <v>24.547139, 46.667056</v>
      </c>
      <c r="L163">
        <v>162</v>
      </c>
      <c r="M163" s="96" t="s">
        <v>841</v>
      </c>
      <c r="N163" s="80" t="s">
        <v>859</v>
      </c>
      <c r="O163" s="97" t="s">
        <v>860</v>
      </c>
      <c r="P163" s="98" t="s">
        <v>54</v>
      </c>
      <c r="Q163" s="264" t="s">
        <v>1889</v>
      </c>
    </row>
    <row r="164" spans="1:17" ht="20.25">
      <c r="A164">
        <v>163</v>
      </c>
      <c r="B164" s="229" t="s">
        <v>69</v>
      </c>
      <c r="C164" s="6" t="s">
        <v>360</v>
      </c>
      <c r="E164" t="str">
        <f t="shared" si="25"/>
        <v>تقاطع طريق الامام سعود بن عبد العزيز مع الدائري الشرقي (شرق)</v>
      </c>
      <c r="F164" t="str">
        <f t="shared" si="26"/>
        <v>U18-EB</v>
      </c>
      <c r="G164" t="str">
        <f t="shared" si="27"/>
        <v>24.547139, 46.667056</v>
      </c>
      <c r="L164">
        <v>163</v>
      </c>
      <c r="M164" s="96" t="s">
        <v>841</v>
      </c>
      <c r="N164" s="80" t="s">
        <v>861</v>
      </c>
      <c r="O164" s="97" t="s">
        <v>862</v>
      </c>
      <c r="P164" s="98" t="s">
        <v>54</v>
      </c>
      <c r="Q164" s="264" t="s">
        <v>1889</v>
      </c>
    </row>
    <row r="165" spans="1:17" ht="20.25">
      <c r="A165">
        <v>164</v>
      </c>
      <c r="B165" s="229" t="s">
        <v>69</v>
      </c>
      <c r="C165" s="6" t="s">
        <v>360</v>
      </c>
      <c r="E165" t="str">
        <f t="shared" si="25"/>
        <v>تقاطع طريق الامام سعود بن عبد العزيز مع الدائري الشرقي (شرق)</v>
      </c>
      <c r="F165" t="str">
        <f t="shared" si="26"/>
        <v>U18-EB</v>
      </c>
      <c r="G165" t="str">
        <f t="shared" si="27"/>
        <v>24.547139, 46.667056</v>
      </c>
      <c r="L165">
        <v>164</v>
      </c>
      <c r="M165" s="96" t="s">
        <v>841</v>
      </c>
      <c r="N165" s="80" t="s">
        <v>863</v>
      </c>
      <c r="O165" s="97" t="s">
        <v>864</v>
      </c>
      <c r="P165" s="98" t="s">
        <v>54</v>
      </c>
      <c r="Q165" s="264" t="s">
        <v>1888</v>
      </c>
    </row>
    <row r="166" spans="1:17" ht="20.25">
      <c r="A166">
        <v>165</v>
      </c>
      <c r="B166" s="229" t="s">
        <v>69</v>
      </c>
      <c r="C166" s="6" t="s">
        <v>360</v>
      </c>
      <c r="E166" t="str">
        <f t="shared" si="25"/>
        <v>تقاطع طريق الامام سعود بن عبد العزيز مع الدائري الشرقي (شرق)</v>
      </c>
      <c r="F166" t="str">
        <f t="shared" si="26"/>
        <v>U18-EB</v>
      </c>
      <c r="G166" t="str">
        <f t="shared" si="27"/>
        <v>24.547139, 46.667056</v>
      </c>
      <c r="L166">
        <v>165</v>
      </c>
      <c r="M166" s="96" t="s">
        <v>841</v>
      </c>
      <c r="N166" s="80" t="s">
        <v>865</v>
      </c>
      <c r="O166" s="97" t="s">
        <v>866</v>
      </c>
      <c r="P166" s="98" t="s">
        <v>55</v>
      </c>
      <c r="Q166" s="258" t="s">
        <v>1891</v>
      </c>
    </row>
    <row r="167" spans="1:17" ht="20.25">
      <c r="A167">
        <v>166</v>
      </c>
      <c r="B167" s="229" t="s">
        <v>69</v>
      </c>
      <c r="C167" s="6" t="s">
        <v>360</v>
      </c>
      <c r="E167" t="str">
        <f t="shared" si="25"/>
        <v>تقاطع طريق الامام سعود بن عبد العزيز مع الدائري الشرقي (شرق)</v>
      </c>
      <c r="F167" t="str">
        <f t="shared" si="26"/>
        <v>U18-EB</v>
      </c>
      <c r="G167" t="str">
        <f t="shared" si="27"/>
        <v>24.547139, 46.667056</v>
      </c>
      <c r="L167">
        <v>166</v>
      </c>
      <c r="M167" s="96" t="s">
        <v>841</v>
      </c>
      <c r="N167" s="80" t="s">
        <v>867</v>
      </c>
      <c r="O167" s="97" t="s">
        <v>868</v>
      </c>
      <c r="P167" s="98" t="s">
        <v>55</v>
      </c>
      <c r="Q167" s="258" t="s">
        <v>1892</v>
      </c>
    </row>
    <row r="168" spans="1:17" ht="20.25">
      <c r="A168">
        <v>167</v>
      </c>
      <c r="B168" s="229" t="s">
        <v>69</v>
      </c>
      <c r="C168" s="6" t="s">
        <v>361</v>
      </c>
      <c r="E168" t="str">
        <f t="shared" si="25"/>
        <v>تقاطع طريق الامام سعود بن عبد العزيز مع الدائري الشرقي (شرق)</v>
      </c>
      <c r="F168" t="str">
        <f t="shared" si="26"/>
        <v>U18-WB</v>
      </c>
      <c r="G168" t="str">
        <f t="shared" si="27"/>
        <v>24.532056, 46.654667</v>
      </c>
      <c r="L168">
        <v>167</v>
      </c>
      <c r="M168" s="96" t="s">
        <v>841</v>
      </c>
      <c r="N168" s="80" t="s">
        <v>869</v>
      </c>
      <c r="O168" s="97" t="s">
        <v>870</v>
      </c>
      <c r="P168" s="98" t="s">
        <v>55</v>
      </c>
      <c r="Q168" s="258" t="s">
        <v>1893</v>
      </c>
    </row>
    <row r="169" spans="1:17" ht="20.25">
      <c r="A169">
        <v>168</v>
      </c>
      <c r="B169" s="225" t="s">
        <v>70</v>
      </c>
      <c r="C169" s="291" t="s">
        <v>27</v>
      </c>
      <c r="E169" t="str">
        <f>IFERROR(INDEX(M:M, MATCH(C169, P:P, 0)), "Not Found")</f>
        <v>نفق طريق الملك فهد تقاطع طريق الملك سلمان</v>
      </c>
      <c r="F169" t="str">
        <f>IFERROR(INDEX(N:N, MATCH(C169,P:P, 0)), "Not Found")</f>
        <v>Fahd_Salman_TN_N</v>
      </c>
      <c r="G169" t="str">
        <f>IFERROR(INDEX(Q:Q, MATCH(C169, P:P, 0)), "Not Found")</f>
        <v>24.826447, 46.614377</v>
      </c>
      <c r="L169">
        <v>168</v>
      </c>
      <c r="M169" s="96" t="s">
        <v>841</v>
      </c>
      <c r="N169" s="80" t="s">
        <v>871</v>
      </c>
      <c r="O169" s="97" t="s">
        <v>872</v>
      </c>
      <c r="P169" s="98" t="s">
        <v>55</v>
      </c>
      <c r="Q169" s="258" t="s">
        <v>1894</v>
      </c>
    </row>
    <row r="170" spans="1:17" ht="20.25">
      <c r="A170">
        <v>169</v>
      </c>
      <c r="B170" s="225" t="s">
        <v>70</v>
      </c>
      <c r="C170" s="224" t="s">
        <v>20</v>
      </c>
      <c r="E170" t="str">
        <f>IFERROR(INDEX(M:M, MATCH(C170, P:P, 0)), "Not Found")</f>
        <v>Not Found</v>
      </c>
      <c r="F170" t="str">
        <f>IFERROR(INDEX(N:N, MATCH(C170, P:P, 0)), "Not Found")</f>
        <v>Not Found</v>
      </c>
      <c r="G170" t="str">
        <f>IFERROR(INDEX(Q:Q, MATCH(C170, O:O, 0)), "Not Found")</f>
        <v>Not Found</v>
      </c>
      <c r="L170">
        <v>169</v>
      </c>
      <c r="M170" s="96" t="s">
        <v>841</v>
      </c>
      <c r="N170" s="80" t="s">
        <v>873</v>
      </c>
      <c r="O170" s="97" t="s">
        <v>874</v>
      </c>
      <c r="P170" s="98" t="s">
        <v>55</v>
      </c>
      <c r="Q170" s="258" t="s">
        <v>1891</v>
      </c>
    </row>
    <row r="171" spans="1:17" ht="20.25">
      <c r="A171">
        <v>170</v>
      </c>
      <c r="B171" s="230" t="s">
        <v>68</v>
      </c>
      <c r="C171" s="6" t="s">
        <v>153</v>
      </c>
      <c r="E171" t="str">
        <f>IFERROR(INDEX(M:M, MATCH(C171, O:O, 0)), "Not Found")</f>
        <v xml:space="preserve">تقاطع طريق الخرج مع طريق عمر بن الخطاب – ميدان العمل </v>
      </c>
      <c r="F171" t="str">
        <f>IFERROR(INDEX(N:N, MATCH(C171, O:O, 0)), "Not Found")</f>
        <v>U6-31-we-1</v>
      </c>
      <c r="G171" t="str">
        <f>IFERROR(INDEX(Q:Q, MATCH(C171, O:O, 0)), "Not Found")</f>
        <v>24.649198, 46.733962</v>
      </c>
      <c r="L171">
        <v>170</v>
      </c>
      <c r="M171" s="96" t="s">
        <v>841</v>
      </c>
      <c r="N171" s="80" t="s">
        <v>875</v>
      </c>
      <c r="O171" s="97" t="s">
        <v>876</v>
      </c>
      <c r="P171" s="98" t="s">
        <v>55</v>
      </c>
      <c r="Q171" s="258" t="s">
        <v>1891</v>
      </c>
    </row>
    <row r="172" spans="1:17" ht="20.25">
      <c r="A172">
        <v>171</v>
      </c>
      <c r="B172" s="231" t="s">
        <v>68</v>
      </c>
      <c r="C172" s="6" t="s">
        <v>127</v>
      </c>
      <c r="E172" t="str">
        <f>IFERROR(INDEX(M:M, MATCH(C172, O:O, 0)), "Not Found")</f>
        <v>تقاطع طريق الإمام سعود مع طريق أبي بكر الصديق</v>
      </c>
      <c r="F172" t="str">
        <f>IFERROR(INDEX(N:N, MATCH(C172, O:O, 0)), "Not Found")</f>
        <v>U13-G-EW</v>
      </c>
      <c r="G172" t="str">
        <f>IFERROR(INDEX(Q:Q, MATCH(C172, O:O, 0)), "Not Found")</f>
        <v>24.762225, 46.697203</v>
      </c>
      <c r="L172">
        <v>171</v>
      </c>
      <c r="M172" s="96" t="s">
        <v>841</v>
      </c>
      <c r="N172" s="80" t="s">
        <v>877</v>
      </c>
      <c r="O172" s="97" t="s">
        <v>878</v>
      </c>
      <c r="P172" s="98" t="s">
        <v>60</v>
      </c>
      <c r="Q172" s="258" t="s">
        <v>1895</v>
      </c>
    </row>
    <row r="173" spans="1:17" ht="20.25">
      <c r="A173">
        <v>172</v>
      </c>
      <c r="B173" s="231" t="s">
        <v>68</v>
      </c>
      <c r="C173" s="6" t="s">
        <v>163</v>
      </c>
      <c r="E173" t="str">
        <f>IFERROR(INDEX(M:M, MATCH(C173, O:O, 0)), "Not Found")</f>
        <v>نفق تقاطع السكة الحديد مع امتداد الطريق الدائرى الشرقى</v>
      </c>
      <c r="F173" t="str">
        <f>IFERROR(INDEX(N:N, MATCH(C173, O:O, 0)), "Not Found")</f>
        <v>Railway_TN_1</v>
      </c>
      <c r="G173" t="str">
        <f>IFERROR(INDEX(Q:Q, MATCH(C173, O:O, 0)), "Not Found")</f>
        <v>24.592289, 46.848834</v>
      </c>
      <c r="L173">
        <v>172</v>
      </c>
      <c r="M173" s="96" t="s">
        <v>841</v>
      </c>
      <c r="N173" s="80" t="s">
        <v>879</v>
      </c>
      <c r="O173" s="97" t="s">
        <v>880</v>
      </c>
      <c r="P173" s="98" t="s">
        <v>60</v>
      </c>
      <c r="Q173" s="258" t="s">
        <v>1895</v>
      </c>
    </row>
    <row r="174" spans="1:17" ht="20.25">
      <c r="A174">
        <v>173</v>
      </c>
      <c r="B174" s="226" t="s">
        <v>70</v>
      </c>
      <c r="C174" s="6" t="s">
        <v>7</v>
      </c>
      <c r="E174" t="str">
        <f>IFERROR(INDEX(M:M, MATCH(C174, P:P, 0)), "Not Found")</f>
        <v>نفق تقاطع السكة الحديد مع امتداد الطريق الدائرى الشرقى</v>
      </c>
      <c r="F174" t="str">
        <f>IFERROR(INDEX(N:N, MATCH(C174, P:P, 0)), "Not Found")</f>
        <v>Railway_TN_1</v>
      </c>
      <c r="G174" t="str">
        <f>IFERROR(INDEX(Q:Q, MATCH(C174, P:P, 0)), "Not Found")</f>
        <v>24.592289, 46.848834</v>
      </c>
      <c r="L174">
        <v>173</v>
      </c>
      <c r="M174" s="96" t="s">
        <v>841</v>
      </c>
      <c r="N174" s="80" t="s">
        <v>881</v>
      </c>
      <c r="O174" s="97" t="s">
        <v>882</v>
      </c>
      <c r="P174" s="98" t="s">
        <v>60</v>
      </c>
      <c r="Q174" s="258" t="s">
        <v>1896</v>
      </c>
    </row>
    <row r="175" spans="1:17" ht="20.25">
      <c r="A175">
        <v>174</v>
      </c>
      <c r="B175" s="230" t="s">
        <v>68</v>
      </c>
      <c r="C175" s="6" t="s">
        <v>124</v>
      </c>
      <c r="E175" t="str">
        <f>IFERROR(INDEX(M:M, MATCH(C175, O:O, 0)), "Not Found")</f>
        <v>نفق طريق الامام سعود بن عبدالعزيز تقاطع طريق الملك فهد (دلة)</v>
      </c>
      <c r="F175" t="str">
        <f>IFERROR(INDEX(N:N, MATCH(C175, O:O, 0)), "Not Found")</f>
        <v>U101_DALLA_TN2</v>
      </c>
      <c r="G175" t="str">
        <f>IFERROR(INDEX(Q:Q, MATCH(C175, O:O, 0)), "Not Found")</f>
        <v xml:space="preserve">24.7444605, 46.6555285  </v>
      </c>
      <c r="L175">
        <v>174</v>
      </c>
      <c r="M175" s="96" t="s">
        <v>841</v>
      </c>
      <c r="N175" s="80" t="s">
        <v>883</v>
      </c>
      <c r="O175" s="97" t="s">
        <v>884</v>
      </c>
      <c r="P175" s="98" t="s">
        <v>60</v>
      </c>
      <c r="Q175" s="258" t="s">
        <v>1897</v>
      </c>
    </row>
    <row r="176" spans="1:17" ht="20.25">
      <c r="A176">
        <v>175</v>
      </c>
      <c r="B176" s="231" t="s">
        <v>68</v>
      </c>
      <c r="C176" s="6" t="s">
        <v>114</v>
      </c>
      <c r="E176" t="str">
        <f>IFERROR(INDEX(M:M, MATCH(C176, O:O, 0)), "Not Found")</f>
        <v>مخرج 5 الى 6 - الدائري الشمالي - شرق - جانتري (2)</v>
      </c>
      <c r="F176" t="str">
        <f>IFERROR(INDEX(N:N, MATCH(C176, O:O, 0)), "Not Found")</f>
        <v>EX5TO6-E-2</v>
      </c>
      <c r="G176" t="str">
        <f>IFERROR(INDEX(Q:Q, MATCH(C176, O:O, 0)), "Not Found")</f>
        <v>24.775587, 46.682076</v>
      </c>
      <c r="L176">
        <v>175</v>
      </c>
      <c r="M176" s="96" t="s">
        <v>841</v>
      </c>
      <c r="N176" s="80" t="s">
        <v>885</v>
      </c>
      <c r="O176" s="97" t="s">
        <v>886</v>
      </c>
      <c r="P176" s="98" t="s">
        <v>60</v>
      </c>
      <c r="Q176" s="258" t="s">
        <v>1898</v>
      </c>
    </row>
    <row r="177" spans="1:17" ht="20.25">
      <c r="A177">
        <v>176</v>
      </c>
      <c r="B177" s="226" t="s">
        <v>70</v>
      </c>
      <c r="C177" s="6" t="s">
        <v>14</v>
      </c>
      <c r="E177" t="str">
        <f>IFERROR(INDEX(M:M, MATCH(C177, P:P, 0)), "Not Found")</f>
        <v>نفق الإسكان - إمتداد الطريق الدائري الشرقي مع شارع السمح بن مالك</v>
      </c>
      <c r="F177" t="str">
        <f>IFERROR(INDEX(N:N, MATCH(C177, P:P, 0)), "Not Found")</f>
        <v>Iskan1_TN_NS1</v>
      </c>
      <c r="G177" t="str">
        <f>IFERROR(INDEX(Q:Q, MATCH(C177, P:P, 0)), "Not Found")</f>
        <v>24.589051, 46.855795</v>
      </c>
      <c r="L177">
        <v>176</v>
      </c>
      <c r="M177" s="96" t="s">
        <v>841</v>
      </c>
      <c r="N177" s="80" t="s">
        <v>887</v>
      </c>
      <c r="O177" s="97" t="s">
        <v>888</v>
      </c>
      <c r="P177" s="98" t="s">
        <v>60</v>
      </c>
      <c r="Q177" s="258" t="s">
        <v>1898</v>
      </c>
    </row>
    <row r="178" spans="1:17" ht="20.25">
      <c r="A178">
        <v>177</v>
      </c>
      <c r="B178" s="225" t="s">
        <v>70</v>
      </c>
      <c r="C178" s="291" t="s">
        <v>13</v>
      </c>
      <c r="E178" t="str">
        <f>IFERROR(INDEX(M:M, MATCH(C178, P:P, 0)), "Not Found")</f>
        <v>نفق تقاطع طريق الدائري الشرقي مع طريق المدينة المنورة (مخرج17)</v>
      </c>
      <c r="F178" t="str">
        <f>IFERROR(INDEX(N:N, MATCH(C178,P:P, 0)), "Not Found")</f>
        <v>EX17_TN_SN1</v>
      </c>
      <c r="G178" t="str">
        <f>IFERROR(INDEX(Q:Q, MATCH(C178, P:P, 0)), "Not Found")</f>
        <v>24.653228, 46.792334</v>
      </c>
      <c r="L178">
        <v>177</v>
      </c>
      <c r="M178" s="96" t="s">
        <v>841</v>
      </c>
      <c r="N178" s="80" t="s">
        <v>889</v>
      </c>
      <c r="O178" s="97" t="s">
        <v>890</v>
      </c>
      <c r="P178" s="98" t="s">
        <v>1661</v>
      </c>
      <c r="Q178" s="258" t="s">
        <v>1899</v>
      </c>
    </row>
    <row r="179" spans="1:17" ht="20.25">
      <c r="A179">
        <v>178</v>
      </c>
      <c r="B179" s="225" t="s">
        <v>70</v>
      </c>
      <c r="C179" s="291" t="s">
        <v>4</v>
      </c>
      <c r="E179" t="str">
        <f>IFERROR(INDEX(M:M, MATCH(C179, P:P, 0)), "Not Found")</f>
        <v>نفق طريق مكة المكرمة تقاطع طريق التخصصي (العزيزية - بنده)</v>
      </c>
      <c r="F179" t="str">
        <f>IFERROR(INDEX(N:N, MATCH(C179,P:P, 0)), "Not Found")</f>
        <v>MAK_TAKHS_TN_EW2</v>
      </c>
      <c r="G179" t="str">
        <f>IFERROR(INDEX(Q:Q, MATCH(C179, P:P, 0)), "Not Found")</f>
        <v>24.675513, 46.677770</v>
      </c>
      <c r="L179">
        <v>178</v>
      </c>
      <c r="M179" s="96" t="s">
        <v>841</v>
      </c>
      <c r="N179" s="80" t="s">
        <v>891</v>
      </c>
      <c r="O179" s="97" t="s">
        <v>892</v>
      </c>
      <c r="P179" s="98" t="s">
        <v>1661</v>
      </c>
      <c r="Q179" s="264" t="s">
        <v>1900</v>
      </c>
    </row>
    <row r="180" spans="1:17" ht="20.25">
      <c r="A180">
        <v>179</v>
      </c>
      <c r="B180" s="229" t="s">
        <v>69</v>
      </c>
      <c r="C180" s="6" t="s">
        <v>361</v>
      </c>
      <c r="E180" t="str">
        <f>IFERROR(INDEX(M:M, MATCH(C180, O:O, 0)), "Not Found")</f>
        <v>تقاطع طريق الامام سعود بن عبد العزيز مع الدائري الشرقي (شرق)</v>
      </c>
      <c r="F180" t="str">
        <f>IFERROR(INDEX(N:N, MATCH(C180, O:O, 0)), "Not Found")</f>
        <v>U18-WB</v>
      </c>
      <c r="G180" t="str">
        <f>IFERROR(INDEX(Q:Q, MATCH(C180, O:O, 0)), "Not Found")</f>
        <v>24.532056, 46.654667</v>
      </c>
      <c r="L180">
        <v>179</v>
      </c>
      <c r="M180" s="96" t="s">
        <v>841</v>
      </c>
      <c r="N180" s="80" t="s">
        <v>893</v>
      </c>
      <c r="O180" s="97" t="s">
        <v>894</v>
      </c>
      <c r="P180" s="98" t="s">
        <v>1661</v>
      </c>
      <c r="Q180" s="264" t="s">
        <v>1901</v>
      </c>
    </row>
    <row r="181" spans="1:17" ht="20.25">
      <c r="A181">
        <v>180</v>
      </c>
      <c r="B181" s="230" t="s">
        <v>68</v>
      </c>
      <c r="C181" s="6" t="s">
        <v>120</v>
      </c>
      <c r="E181" t="str">
        <f>IFERROR(INDEX(M:M, MATCH(C181, O:O, 0)), "Not Found")</f>
        <v>شاشة طريق الملك سلمان - عثمان بن عفان - غرب</v>
      </c>
      <c r="F181" t="str">
        <f>IFERROR(INDEX(N:N, MATCH(C181, O:O, 0)), "Not Found")</f>
        <v>UTHMAN-VMS-W</v>
      </c>
      <c r="G181" t="str">
        <f>IFERROR(INDEX(Q:Q, MATCH(C181, O:O, 0)), "Not Found")</f>
        <v>24.850373, 46.670314</v>
      </c>
      <c r="L181">
        <v>180</v>
      </c>
      <c r="M181" s="96" t="s">
        <v>841</v>
      </c>
      <c r="N181" s="80" t="s">
        <v>895</v>
      </c>
      <c r="O181" s="97" t="s">
        <v>896</v>
      </c>
      <c r="P181" s="98" t="s">
        <v>1661</v>
      </c>
      <c r="Q181" s="264" t="s">
        <v>1899</v>
      </c>
    </row>
    <row r="182" spans="1:17" ht="20.25">
      <c r="A182">
        <v>181</v>
      </c>
      <c r="B182" s="231" t="s">
        <v>68</v>
      </c>
      <c r="C182" s="6" t="s">
        <v>163</v>
      </c>
      <c r="E182" t="str">
        <f>IFERROR(INDEX(M:M, MATCH(C182, O:O, 0)), "Not Found")</f>
        <v>نفق تقاطع السكة الحديد مع امتداد الطريق الدائرى الشرقى</v>
      </c>
      <c r="F182" t="str">
        <f>IFERROR(INDEX(N:N, MATCH(C182, O:O, 0)), "Not Found")</f>
        <v>Railway_TN_1</v>
      </c>
      <c r="G182" t="str">
        <f>IFERROR(INDEX(Q:Q, MATCH(C182, O:O, 0)), "Not Found")</f>
        <v>24.592289, 46.848834</v>
      </c>
      <c r="L182">
        <v>181</v>
      </c>
      <c r="M182" s="96" t="s">
        <v>841</v>
      </c>
      <c r="N182" s="80" t="s">
        <v>897</v>
      </c>
      <c r="O182" s="97" t="s">
        <v>898</v>
      </c>
      <c r="P182" s="98" t="s">
        <v>1661</v>
      </c>
      <c r="Q182" s="264" t="s">
        <v>1899</v>
      </c>
    </row>
    <row r="183" spans="1:17" ht="21" thickBot="1">
      <c r="A183">
        <v>182</v>
      </c>
      <c r="B183" s="231" t="s">
        <v>68</v>
      </c>
      <c r="C183" s="6" t="s">
        <v>114</v>
      </c>
      <c r="E183" t="str">
        <f>IFERROR(INDEX(M:M, MATCH(C183, O:O, 0)), "Not Found")</f>
        <v>مخرج 5 الى 6 - الدائري الشمالي - شرق - جانتري (2)</v>
      </c>
      <c r="F183" t="str">
        <f>IFERROR(INDEX(N:N, MATCH(C183, O:O, 0)), "Not Found")</f>
        <v>EX5TO6-E-2</v>
      </c>
      <c r="G183" t="str">
        <f>IFERROR(INDEX(Q:Q, MATCH(C183, O:O, 0)), "Not Found")</f>
        <v>24.775587, 46.682076</v>
      </c>
      <c r="L183">
        <v>182</v>
      </c>
      <c r="M183" s="99" t="s">
        <v>841</v>
      </c>
      <c r="N183" s="84" t="s">
        <v>899</v>
      </c>
      <c r="O183" s="100" t="s">
        <v>900</v>
      </c>
      <c r="P183" s="101" t="s">
        <v>1661</v>
      </c>
      <c r="Q183" s="265" t="s">
        <v>1899</v>
      </c>
    </row>
    <row r="184" spans="1:17" ht="20.25">
      <c r="A184">
        <v>183</v>
      </c>
      <c r="B184" s="231" t="s">
        <v>68</v>
      </c>
      <c r="C184" s="6" t="s">
        <v>151</v>
      </c>
      <c r="E184" t="str">
        <f>IFERROR(INDEX(M:M, MATCH(C184, O:O, 0)), "Not Found")</f>
        <v>عمود طريق الملك فهد -  مكة المكرمة - شمال</v>
      </c>
      <c r="F184" t="str">
        <f>IFERROR(INDEX(N:N, MATCH(C184, O:O, 0)), "Not Found")</f>
        <v>KFAH-MAK-POLE-N</v>
      </c>
      <c r="G184" t="str">
        <f>IFERROR(INDEX(Q:Q, MATCH(C184, O:O, 0)), "Not Found")</f>
        <v>24.679068, 46.688919</v>
      </c>
      <c r="L184">
        <v>183</v>
      </c>
      <c r="M184" s="93" t="s">
        <v>85</v>
      </c>
      <c r="N184" s="76" t="s">
        <v>901</v>
      </c>
      <c r="O184" s="94" t="s">
        <v>148</v>
      </c>
      <c r="P184" s="95" t="s">
        <v>52</v>
      </c>
      <c r="Q184" s="266" t="s">
        <v>1902</v>
      </c>
    </row>
    <row r="185" spans="1:17" ht="20.25">
      <c r="A185">
        <v>184</v>
      </c>
      <c r="B185" s="226" t="s">
        <v>70</v>
      </c>
      <c r="C185" s="6" t="s">
        <v>11</v>
      </c>
      <c r="E185" t="str">
        <f>IFERROR(INDEX(M:M, MATCH(C185, P:P, 0)), "Not Found")</f>
        <v>تقاطع طريق الامام سعود بن عبد العزيز مع الدائري الشرقي (غرب)</v>
      </c>
      <c r="F185" t="str">
        <f>IFERROR(INDEX(N:N, MATCH(C185, P:P, 0)), "Not Found")</f>
        <v>U19-EW-1</v>
      </c>
      <c r="G185" t="str">
        <f>IFERROR(INDEX(Q:Q, MATCH(C185, P:P, 0)), "Not Found")</f>
        <v>24.773353, 46.724131</v>
      </c>
      <c r="L185">
        <v>184</v>
      </c>
      <c r="M185" s="96" t="s">
        <v>85</v>
      </c>
      <c r="N185" s="80" t="s">
        <v>902</v>
      </c>
      <c r="O185" s="97" t="s">
        <v>903</v>
      </c>
      <c r="P185" s="98" t="s">
        <v>52</v>
      </c>
      <c r="Q185" s="264" t="s">
        <v>1902</v>
      </c>
    </row>
    <row r="186" spans="1:17" ht="20.25">
      <c r="A186">
        <v>185</v>
      </c>
      <c r="B186" s="225" t="s">
        <v>70</v>
      </c>
      <c r="C186" s="6" t="s">
        <v>41</v>
      </c>
      <c r="E186" t="str">
        <f>IFERROR(INDEX(M:M, MATCH(C186, P:P, 0)), "Not Found")</f>
        <v>تقاطع طريق سعد بن عبد الرحمن الأول مع طريق الامام الشافعي</v>
      </c>
      <c r="F186" t="str">
        <f>IFERROR(INDEX(N:N, MATCH(C186, P:P, 0)), "Not Found")</f>
        <v>U21-EW-1</v>
      </c>
      <c r="G186" t="str">
        <f>IFERROR(INDEX(Q:Q, MATCH(C186, P:P, 0)), "Not Found")</f>
        <v>24.693215, 46.809979</v>
      </c>
      <c r="L186">
        <v>185</v>
      </c>
      <c r="M186" s="96" t="s">
        <v>85</v>
      </c>
      <c r="N186" s="80" t="s">
        <v>904</v>
      </c>
      <c r="O186" s="97" t="s">
        <v>905</v>
      </c>
      <c r="P186" s="98" t="s">
        <v>52</v>
      </c>
      <c r="Q186" s="264" t="s">
        <v>1903</v>
      </c>
    </row>
    <row r="187" spans="1:17" ht="20.25">
      <c r="A187">
        <v>186</v>
      </c>
      <c r="B187" s="225" t="s">
        <v>70</v>
      </c>
      <c r="C187" s="6" t="s">
        <v>41</v>
      </c>
      <c r="E187" t="str">
        <f>IFERROR(INDEX(M:M, MATCH(C187, P:P, 0)), "Not Found")</f>
        <v>تقاطع طريق سعد بن عبد الرحمن الأول مع طريق الامام الشافعي</v>
      </c>
      <c r="F187" t="str">
        <f>IFERROR(INDEX(N:N, MATCH(C187, P:P, 0)), "Not Found")</f>
        <v>U21-EW-1</v>
      </c>
      <c r="G187" t="str">
        <f>IFERROR(INDEX(Q:Q, MATCH(C187, P:P, 0)), "Not Found")</f>
        <v>24.693215, 46.809979</v>
      </c>
      <c r="L187">
        <v>186</v>
      </c>
      <c r="M187" s="96" t="s">
        <v>85</v>
      </c>
      <c r="N187" s="80" t="s">
        <v>906</v>
      </c>
      <c r="O187" s="97" t="s">
        <v>907</v>
      </c>
      <c r="P187" s="98" t="s">
        <v>52</v>
      </c>
      <c r="Q187" s="264" t="s">
        <v>1904</v>
      </c>
    </row>
    <row r="188" spans="1:17" ht="20.25">
      <c r="A188">
        <v>187</v>
      </c>
      <c r="B188" s="225" t="s">
        <v>70</v>
      </c>
      <c r="C188" s="6" t="s">
        <v>35</v>
      </c>
      <c r="E188" t="str">
        <f>IFERROR(INDEX(M:M, MATCH(C188, P:P, 0)), "Not Found")</f>
        <v>نفق مخرج 16 طريق الدائري الشرقي تقاطع طريق عمر بن الخطاب</v>
      </c>
      <c r="F188" t="str">
        <f>IFERROR(INDEX(N:N, MATCH(C188, P:P, 0)), "Not Found")</f>
        <v>EXIT16_TN_1</v>
      </c>
      <c r="G188" t="str">
        <f>IFERROR(INDEX(Q:Q, MATCH(C188, P:P, 0)), "Not Found")</f>
        <v>24.666791, 46.784996</v>
      </c>
      <c r="L188">
        <v>187</v>
      </c>
      <c r="M188" s="96" t="s">
        <v>85</v>
      </c>
      <c r="N188" s="80" t="s">
        <v>908</v>
      </c>
      <c r="O188" s="97" t="s">
        <v>909</v>
      </c>
      <c r="P188" s="98" t="s">
        <v>52</v>
      </c>
      <c r="Q188" s="264" t="s">
        <v>1904</v>
      </c>
    </row>
    <row r="189" spans="1:17" ht="20.25">
      <c r="A189">
        <v>188</v>
      </c>
      <c r="B189" s="230" t="s">
        <v>68</v>
      </c>
      <c r="C189" s="6" t="s">
        <v>155</v>
      </c>
      <c r="E189" t="str">
        <f>IFERROR(INDEX(M:M, MATCH(C189, O:O, 0)), "Not Found")</f>
        <v>جسر مشاة طريق الملك فهد أمام مركز بن رشيد الطبي</v>
      </c>
      <c r="F189" t="str">
        <f>IFERROR(INDEX(N:N, MATCH(C189, O:O, 0)), "Not Found")</f>
        <v>KF1_P18_1</v>
      </c>
      <c r="G189" t="str">
        <f>IFERROR(INDEX(Q:Q, MATCH(C189, O:O, 0)), "Not Found")</f>
        <v>24.683707, 46.685863</v>
      </c>
      <c r="L189">
        <v>188</v>
      </c>
      <c r="M189" s="96" t="s">
        <v>85</v>
      </c>
      <c r="N189" s="80" t="s">
        <v>910</v>
      </c>
      <c r="O189" s="97" t="s">
        <v>911</v>
      </c>
      <c r="P189" s="98" t="s">
        <v>21</v>
      </c>
      <c r="Q189" s="264" t="s">
        <v>1905</v>
      </c>
    </row>
    <row r="190" spans="1:17" ht="20.25">
      <c r="A190">
        <v>189</v>
      </c>
      <c r="B190" s="226" t="s">
        <v>70</v>
      </c>
      <c r="C190" s="291" t="s">
        <v>44</v>
      </c>
      <c r="E190" t="str">
        <f>IFERROR(INDEX(M:M, MATCH(C190, P:P, 0)), "Not Found")</f>
        <v>نفق  تقاطع الطريق الدائري الثاني مع شارع السلامه (خشم العان 4)</v>
      </c>
      <c r="F190" t="str">
        <f>IFERROR(INDEX(N:N, MATCH(C190,P:P, 0)), "Not Found")</f>
        <v>khashm4_u149A_1</v>
      </c>
      <c r="G190" t="str">
        <f>IFERROR(INDEX(Q:Q, MATCH(C190, P:P, 0)), "Not Found")</f>
        <v>46.855436‬‏, 24.743596</v>
      </c>
      <c r="L190">
        <v>189</v>
      </c>
      <c r="M190" s="96" t="s">
        <v>85</v>
      </c>
      <c r="N190" s="80" t="s">
        <v>912</v>
      </c>
      <c r="O190" s="97" t="s">
        <v>913</v>
      </c>
      <c r="P190" s="98" t="s">
        <v>21</v>
      </c>
      <c r="Q190" s="267" t="s">
        <v>1905</v>
      </c>
    </row>
    <row r="191" spans="1:17" ht="20.25">
      <c r="A191">
        <v>190</v>
      </c>
      <c r="B191" s="230" t="s">
        <v>68</v>
      </c>
      <c r="C191" s="224" t="s">
        <v>104</v>
      </c>
      <c r="E191" t="str">
        <f t="shared" ref="E191:E196" si="28">IFERROR(INDEX(M:M, MATCH(C191, O:O, 0)), "Not Found")</f>
        <v>Not Found</v>
      </c>
      <c r="F191" t="str">
        <f t="shared" ref="F191:F196" si="29">IFERROR(INDEX(N:N, MATCH(C191, O:O, 0)), "Not Found")</f>
        <v>Not Found</v>
      </c>
      <c r="G191" t="str">
        <f t="shared" ref="G191:G196" si="30">IFERROR(INDEX(Q:Q, MATCH(C191, O:O, 0)), "Not Found")</f>
        <v>Not Found</v>
      </c>
      <c r="L191">
        <v>190</v>
      </c>
      <c r="M191" s="96" t="s">
        <v>85</v>
      </c>
      <c r="N191" s="80" t="s">
        <v>914</v>
      </c>
      <c r="O191" s="97" t="s">
        <v>915</v>
      </c>
      <c r="P191" s="98" t="s">
        <v>21</v>
      </c>
      <c r="Q191" s="267" t="s">
        <v>1903</v>
      </c>
    </row>
    <row r="192" spans="1:17" ht="20.25">
      <c r="A192">
        <v>191</v>
      </c>
      <c r="B192" s="228" t="s">
        <v>69</v>
      </c>
      <c r="C192" s="6" t="s">
        <v>361</v>
      </c>
      <c r="E192" t="str">
        <f t="shared" si="28"/>
        <v>تقاطع طريق الامام سعود بن عبد العزيز مع الدائري الشرقي (شرق)</v>
      </c>
      <c r="F192" t="str">
        <f t="shared" si="29"/>
        <v>U18-WB</v>
      </c>
      <c r="G192" t="str">
        <f t="shared" si="30"/>
        <v>24.532056, 46.654667</v>
      </c>
      <c r="L192">
        <v>191</v>
      </c>
      <c r="M192" s="96" t="s">
        <v>85</v>
      </c>
      <c r="N192" s="80" t="s">
        <v>916</v>
      </c>
      <c r="O192" s="97" t="s">
        <v>917</v>
      </c>
      <c r="P192" s="98" t="s">
        <v>21</v>
      </c>
      <c r="Q192" s="267" t="s">
        <v>1906</v>
      </c>
    </row>
    <row r="193" spans="1:17" ht="20.25">
      <c r="A193">
        <v>192</v>
      </c>
      <c r="B193" s="229" t="s">
        <v>69</v>
      </c>
      <c r="C193" s="6" t="s">
        <v>361</v>
      </c>
      <c r="E193" t="str">
        <f t="shared" si="28"/>
        <v>تقاطع طريق الامام سعود بن عبد العزيز مع الدائري الشرقي (شرق)</v>
      </c>
      <c r="F193" t="str">
        <f t="shared" si="29"/>
        <v>U18-WB</v>
      </c>
      <c r="G193" t="str">
        <f t="shared" si="30"/>
        <v>24.532056, 46.654667</v>
      </c>
      <c r="L193">
        <v>192</v>
      </c>
      <c r="M193" s="96" t="s">
        <v>85</v>
      </c>
      <c r="N193" s="80" t="s">
        <v>918</v>
      </c>
      <c r="O193" s="97" t="s">
        <v>919</v>
      </c>
      <c r="P193" s="98" t="s">
        <v>21</v>
      </c>
      <c r="Q193" s="267" t="s">
        <v>1905</v>
      </c>
    </row>
    <row r="194" spans="1:17" ht="20.25">
      <c r="A194">
        <v>193</v>
      </c>
      <c r="B194" s="229" t="s">
        <v>69</v>
      </c>
      <c r="C194" s="6" t="s">
        <v>361</v>
      </c>
      <c r="E194" t="str">
        <f t="shared" si="28"/>
        <v>تقاطع طريق الامام سعود بن عبد العزيز مع الدائري الشرقي (شرق)</v>
      </c>
      <c r="F194" t="str">
        <f t="shared" si="29"/>
        <v>U18-WB</v>
      </c>
      <c r="G194" t="str">
        <f t="shared" si="30"/>
        <v>24.532056, 46.654667</v>
      </c>
      <c r="L194">
        <v>193</v>
      </c>
      <c r="M194" s="96" t="s">
        <v>85</v>
      </c>
      <c r="N194" s="80" t="s">
        <v>920</v>
      </c>
      <c r="O194" s="97" t="s">
        <v>921</v>
      </c>
      <c r="P194" s="98" t="s">
        <v>21</v>
      </c>
      <c r="Q194" s="267" t="s">
        <v>1905</v>
      </c>
    </row>
    <row r="195" spans="1:17" ht="21" thickBot="1">
      <c r="A195">
        <v>194</v>
      </c>
      <c r="B195" s="229" t="s">
        <v>69</v>
      </c>
      <c r="C195" s="6" t="s">
        <v>387</v>
      </c>
      <c r="E195" t="str">
        <f t="shared" si="28"/>
        <v>مخرج 10 -  الدائري الشرقي - جنوب</v>
      </c>
      <c r="F195" t="str">
        <f t="shared" si="29"/>
        <v>VMS EXIT 10 SB</v>
      </c>
      <c r="G195" t="str">
        <f t="shared" si="30"/>
        <v>24.806716°- 46.755410°</v>
      </c>
      <c r="L195">
        <v>194</v>
      </c>
      <c r="M195" s="99" t="s">
        <v>85</v>
      </c>
      <c r="N195" s="84" t="s">
        <v>922</v>
      </c>
      <c r="O195" s="100" t="s">
        <v>923</v>
      </c>
      <c r="P195" s="101" t="s">
        <v>21</v>
      </c>
      <c r="Q195" s="268" t="s">
        <v>1902</v>
      </c>
    </row>
    <row r="196" spans="1:17" ht="20.25">
      <c r="A196">
        <v>195</v>
      </c>
      <c r="B196" s="229" t="s">
        <v>69</v>
      </c>
      <c r="C196" s="6" t="s">
        <v>485</v>
      </c>
      <c r="E196" t="str">
        <f t="shared" si="28"/>
        <v>طريق خريص - نفق اكاديمية الأمير نايف - غرب</v>
      </c>
      <c r="F196" t="str">
        <f t="shared" si="29"/>
        <v>VMS NAYEF WB</v>
      </c>
      <c r="G196" t="str">
        <f t="shared" si="30"/>
        <v>24.803989, 46.854944</v>
      </c>
      <c r="L196">
        <v>195</v>
      </c>
      <c r="M196" s="93" t="s">
        <v>924</v>
      </c>
      <c r="N196" s="76" t="s">
        <v>925</v>
      </c>
      <c r="O196" s="94" t="s">
        <v>926</v>
      </c>
      <c r="P196" s="95" t="s">
        <v>1662</v>
      </c>
      <c r="Q196" s="269" t="s">
        <v>1907</v>
      </c>
    </row>
    <row r="197" spans="1:17" ht="20.25">
      <c r="A197">
        <v>196</v>
      </c>
      <c r="B197" s="225" t="s">
        <v>70</v>
      </c>
      <c r="C197" s="291" t="s">
        <v>53</v>
      </c>
      <c r="E197" t="str">
        <f>IFERROR(INDEX(M:M, MATCH(C197, P:P, 0)), "Not Found")</f>
        <v>نفق طريق مكة المكرمة تقاطع شارع مساعد بن جلوي</v>
      </c>
      <c r="F197" t="str">
        <f>IFERROR(INDEX(N:N, MATCH(C197,P:P, 0)), "Not Found")</f>
        <v>Makka_DababPMP</v>
      </c>
      <c r="G197" t="str">
        <f>IFERROR(INDEX(Q:Q, MATCH(C197, P:P, 0)), "Not Found")</f>
        <v>24.683322, 46.699220</v>
      </c>
      <c r="L197">
        <v>196</v>
      </c>
      <c r="M197" s="96" t="s">
        <v>924</v>
      </c>
      <c r="N197" s="80" t="s">
        <v>927</v>
      </c>
      <c r="O197" s="97" t="s">
        <v>145</v>
      </c>
      <c r="P197" s="98" t="s">
        <v>1662</v>
      </c>
      <c r="Q197" s="267" t="s">
        <v>1908</v>
      </c>
    </row>
    <row r="198" spans="1:17" ht="20.25">
      <c r="A198">
        <v>197</v>
      </c>
      <c r="B198" s="225" t="s">
        <v>70</v>
      </c>
      <c r="C198" s="6" t="s">
        <v>43</v>
      </c>
      <c r="E198" t="str">
        <f>IFERROR(INDEX(M:M, MATCH(C198, P:P, 0)), "Not Found")</f>
        <v>نفق مخرج 30 طريق خريص تقاطع شارع حسان بن ثابت</v>
      </c>
      <c r="F198" t="str">
        <f>IFERROR(INDEX(N:N, MATCH(C198, P:P, 0)), "Not Found")</f>
        <v>EX30_khu_EW1</v>
      </c>
      <c r="G198" t="str">
        <f>IFERROR(INDEX(Q:Q, MATCH(C198, P:P, 0)), "Not Found")</f>
        <v>24.751195, 46.820438</v>
      </c>
      <c r="L198">
        <v>197</v>
      </c>
      <c r="M198" s="96" t="s">
        <v>924</v>
      </c>
      <c r="N198" s="80" t="s">
        <v>928</v>
      </c>
      <c r="O198" s="97" t="s">
        <v>929</v>
      </c>
      <c r="P198" s="98" t="s">
        <v>1662</v>
      </c>
      <c r="Q198" s="267" t="s">
        <v>1909</v>
      </c>
    </row>
    <row r="199" spans="1:17" ht="20.25">
      <c r="A199">
        <v>198</v>
      </c>
      <c r="B199" s="225" t="s">
        <v>70</v>
      </c>
      <c r="C199" s="6" t="s">
        <v>26</v>
      </c>
      <c r="E199" t="str">
        <f>IFERROR(INDEX(M:M, MATCH(C199, P:P, 0)), "Not Found")</f>
        <v xml:space="preserve">نفق مخرج 24 طريق خريص تقاطع شارع الحسن بن علي </v>
      </c>
      <c r="F199" t="str">
        <f>IFERROR(INDEX(N:N, MATCH(C199, P:P, 0)), "Not Found")</f>
        <v>EX24_khu_WE3</v>
      </c>
      <c r="G199" t="str">
        <f>IFERROR(INDEX(Q:Q, MATCH(C199, P:P, 0)), "Not Found")</f>
        <v xml:space="preserve">24.720849, 46.772209  </v>
      </c>
      <c r="L199">
        <v>198</v>
      </c>
      <c r="M199" s="96" t="s">
        <v>924</v>
      </c>
      <c r="N199" s="80" t="s">
        <v>930</v>
      </c>
      <c r="O199" s="97" t="s">
        <v>931</v>
      </c>
      <c r="P199" s="98" t="s">
        <v>1662</v>
      </c>
      <c r="Q199" s="267" t="s">
        <v>1908</v>
      </c>
    </row>
    <row r="200" spans="1:17" ht="20.25">
      <c r="A200">
        <v>199</v>
      </c>
      <c r="B200" s="230" t="s">
        <v>68</v>
      </c>
      <c r="C200" s="6" t="s">
        <v>138</v>
      </c>
      <c r="E200" t="str">
        <f>IFERROR(INDEX(M:M, MATCH(C200, O:O, 0)), "Not Found")</f>
        <v xml:space="preserve">نفق مخرج 24 طريق خريص تقاطع شارع الحسن بن علي </v>
      </c>
      <c r="F200" t="str">
        <f>IFERROR(INDEX(N:N, MATCH(C200, O:O, 0)), "Not Found")</f>
        <v>EX24_khu_WE3</v>
      </c>
      <c r="G200" t="str">
        <f>IFERROR(INDEX(Q:Q, MATCH(C200, O:O, 0)), "Not Found")</f>
        <v xml:space="preserve">24.720849, 46.772209  </v>
      </c>
      <c r="L200">
        <v>199</v>
      </c>
      <c r="M200" s="96" t="s">
        <v>924</v>
      </c>
      <c r="N200" s="80" t="s">
        <v>932</v>
      </c>
      <c r="O200" s="97" t="s">
        <v>933</v>
      </c>
      <c r="P200" s="98" t="s">
        <v>1662</v>
      </c>
      <c r="Q200" s="267" t="s">
        <v>1908</v>
      </c>
    </row>
    <row r="201" spans="1:17" ht="20.25">
      <c r="A201">
        <v>200</v>
      </c>
      <c r="B201" s="8" t="s">
        <v>72</v>
      </c>
      <c r="C201" s="6" t="s">
        <v>19</v>
      </c>
      <c r="E201" t="str">
        <f>IFERROR(INDEX(M:M, MATCH(C201, P:P, 0)), "Not Found")</f>
        <v xml:space="preserve">تقاطع طريق عمر بن عبد العزيز مع طريق النهضة </v>
      </c>
      <c r="F201" t="str">
        <f>IFERROR(INDEX(N:N, MATCH(C201, P:P, 0)), "Not Found")</f>
        <v>u8-we-2</v>
      </c>
      <c r="G201" t="str">
        <f>IFERROR(INDEX(Q:Q, MATCH(C201, P:P, 0)), "Not Found")</f>
        <v>24.688216, 46.754268</v>
      </c>
      <c r="L201">
        <v>200</v>
      </c>
      <c r="M201" s="96" t="s">
        <v>924</v>
      </c>
      <c r="N201" s="80" t="s">
        <v>934</v>
      </c>
      <c r="O201" s="97" t="s">
        <v>935</v>
      </c>
      <c r="P201" s="98" t="s">
        <v>1663</v>
      </c>
      <c r="Q201" s="267" t="s">
        <v>1910</v>
      </c>
    </row>
    <row r="202" spans="1:17" ht="20.25">
      <c r="A202">
        <v>201</v>
      </c>
      <c r="B202" s="293" t="s">
        <v>68</v>
      </c>
      <c r="C202" s="224" t="s">
        <v>104</v>
      </c>
      <c r="E202" t="str">
        <f>IFERROR(INDEX(M:M, MATCH(C202, O:O, 0)), "Not Found")</f>
        <v>Not Found</v>
      </c>
      <c r="F202" t="str">
        <f>IFERROR(INDEX(N:N, MATCH(C202, O:O, 0)), "Not Found")</f>
        <v>Not Found</v>
      </c>
      <c r="G202" t="str">
        <f>IFERROR(INDEX(Q:Q, MATCH(C202, O:O, 0)), "Not Found")</f>
        <v>Not Found</v>
      </c>
      <c r="L202">
        <v>201</v>
      </c>
      <c r="M202" s="96" t="s">
        <v>924</v>
      </c>
      <c r="N202" s="80" t="s">
        <v>936</v>
      </c>
      <c r="O202" s="97" t="s">
        <v>937</v>
      </c>
      <c r="P202" s="98" t="s">
        <v>1663</v>
      </c>
      <c r="Q202" s="267" t="s">
        <v>1911</v>
      </c>
    </row>
    <row r="203" spans="1:17" ht="20.25">
      <c r="A203">
        <v>202</v>
      </c>
      <c r="B203" s="229" t="s">
        <v>69</v>
      </c>
      <c r="C203" s="6" t="s">
        <v>485</v>
      </c>
      <c r="E203" t="str">
        <f>IFERROR(INDEX(M:M, MATCH(C203, O:O, 0)), "Not Found")</f>
        <v>طريق خريص - نفق اكاديمية الأمير نايف - غرب</v>
      </c>
      <c r="F203" t="str">
        <f>IFERROR(INDEX(N:N, MATCH(C203, O:O, 0)), "Not Found")</f>
        <v>VMS NAYEF WB</v>
      </c>
      <c r="G203" t="str">
        <f>IFERROR(INDEX(Q:Q, MATCH(C203, O:O, 0)), "Not Found")</f>
        <v>24.803989, 46.854944</v>
      </c>
      <c r="L203">
        <v>202</v>
      </c>
      <c r="M203" s="96" t="s">
        <v>924</v>
      </c>
      <c r="N203" s="80" t="s">
        <v>938</v>
      </c>
      <c r="O203" s="97" t="s">
        <v>939</v>
      </c>
      <c r="P203" s="98" t="s">
        <v>1663</v>
      </c>
      <c r="Q203" s="267" t="s">
        <v>1911</v>
      </c>
    </row>
    <row r="204" spans="1:17" ht="21" thickBot="1">
      <c r="A204">
        <v>203</v>
      </c>
      <c r="B204" s="229" t="s">
        <v>69</v>
      </c>
      <c r="C204" s="6" t="s">
        <v>360</v>
      </c>
      <c r="E204" t="str">
        <f>IFERROR(INDEX(M:M, MATCH(C204, O:O, 0)), "Not Found")</f>
        <v>تقاطع طريق الامام سعود بن عبد العزيز مع الدائري الشرقي (شرق)</v>
      </c>
      <c r="F204" t="str">
        <f>IFERROR(INDEX(N:N, MATCH(C204, O:O, 0)), "Not Found")</f>
        <v>U18-EB</v>
      </c>
      <c r="G204" t="str">
        <f>IFERROR(INDEX(Q:Q, MATCH(C204, O:O, 0)), "Not Found")</f>
        <v>24.547139, 46.667056</v>
      </c>
      <c r="L204">
        <v>203</v>
      </c>
      <c r="M204" s="99" t="s">
        <v>924</v>
      </c>
      <c r="N204" s="84" t="s">
        <v>940</v>
      </c>
      <c r="O204" s="100" t="s">
        <v>941</v>
      </c>
      <c r="P204" s="101" t="s">
        <v>1663</v>
      </c>
      <c r="Q204" s="268" t="s">
        <v>1911</v>
      </c>
    </row>
    <row r="205" spans="1:17" ht="20.25">
      <c r="A205">
        <v>204</v>
      </c>
      <c r="B205" s="225" t="s">
        <v>70</v>
      </c>
      <c r="C205" s="291" t="s">
        <v>6</v>
      </c>
      <c r="E205" t="str">
        <f>IFERROR(INDEX(M:M, MATCH(C205, P:P, 0)), "Not Found")</f>
        <v>نفق طريق التخصصي تقاطع طريق العروبة(اليورمارشية)</v>
      </c>
      <c r="F205" t="str">
        <f>IFERROR(INDEX(N:N, MATCH(C205,P:P, 0)), "Not Found")</f>
        <v>Euromarche_TN_NS2</v>
      </c>
      <c r="G205" t="str">
        <f>IFERROR(INDEX(Q:Q, MATCH(C205, P:P, 0)), "Not Found")</f>
        <v>24.708204, 46.663535</v>
      </c>
      <c r="L205">
        <v>204</v>
      </c>
      <c r="M205" s="75" t="s">
        <v>291</v>
      </c>
      <c r="N205" s="76" t="s">
        <v>942</v>
      </c>
      <c r="O205" s="77" t="s">
        <v>130</v>
      </c>
      <c r="P205" s="78" t="s">
        <v>9</v>
      </c>
      <c r="Q205" s="250" t="s">
        <v>1912</v>
      </c>
    </row>
    <row r="206" spans="1:17" ht="20.25">
      <c r="A206">
        <v>205</v>
      </c>
      <c r="B206" s="225" t="s">
        <v>70</v>
      </c>
      <c r="C206" s="291" t="s">
        <v>38</v>
      </c>
      <c r="E206" t="str">
        <f>IFERROR(INDEX(M:M, MATCH(C206, P:P, 0)), "Not Found")</f>
        <v>تقاطع طريق الأمير تركي بن عبد العزيز الأول مع طريق العروبة</v>
      </c>
      <c r="F206" t="str">
        <f>IFERROR(INDEX(N:N, MATCH(C206,P:P, 0)), "Not Found")</f>
        <v>U24_SN-2</v>
      </c>
      <c r="G206" t="str">
        <f>IFERROR(INDEX(Q:Q, MATCH(C206, P:P, 0)), "Not Found")</f>
        <v>24.704813, 46.653971</v>
      </c>
      <c r="L206">
        <v>205</v>
      </c>
      <c r="M206" s="79" t="s">
        <v>291</v>
      </c>
      <c r="N206" s="80" t="s">
        <v>943</v>
      </c>
      <c r="O206" s="81" t="s">
        <v>127</v>
      </c>
      <c r="P206" s="82" t="s">
        <v>9</v>
      </c>
      <c r="Q206" s="255" t="s">
        <v>1913</v>
      </c>
    </row>
    <row r="207" spans="1:17" ht="20.25">
      <c r="A207">
        <v>206</v>
      </c>
      <c r="B207" s="225" t="s">
        <v>70</v>
      </c>
      <c r="C207" s="291" t="s">
        <v>27</v>
      </c>
      <c r="E207" t="str">
        <f>IFERROR(INDEX(M:M, MATCH(C207, P:P, 0)), "Not Found")</f>
        <v>نفق طريق الملك فهد تقاطع طريق الملك سلمان</v>
      </c>
      <c r="F207" t="str">
        <f>IFERROR(INDEX(N:N, MATCH(C207,P:P, 0)), "Not Found")</f>
        <v>Fahd_Salman_TN_N</v>
      </c>
      <c r="G207" t="str">
        <f>IFERROR(INDEX(Q:Q, MATCH(C207, P:P, 0)), "Not Found")</f>
        <v>24.826447, 46.614377</v>
      </c>
      <c r="L207">
        <v>206</v>
      </c>
      <c r="M207" s="79" t="s">
        <v>291</v>
      </c>
      <c r="N207" s="80" t="s">
        <v>944</v>
      </c>
      <c r="O207" s="81" t="s">
        <v>128</v>
      </c>
      <c r="P207" s="82" t="s">
        <v>9</v>
      </c>
      <c r="Q207" s="255" t="s">
        <v>1914</v>
      </c>
    </row>
    <row r="208" spans="1:17" ht="20.25">
      <c r="A208">
        <v>207</v>
      </c>
      <c r="B208" s="229" t="s">
        <v>69</v>
      </c>
      <c r="C208" s="6" t="s">
        <v>360</v>
      </c>
      <c r="E208" t="str">
        <f t="shared" ref="E208:E215" si="31">IFERROR(INDEX(M:M, MATCH(C208, O:O, 0)), "Not Found")</f>
        <v>تقاطع طريق الامام سعود بن عبد العزيز مع الدائري الشرقي (شرق)</v>
      </c>
      <c r="F208" t="str">
        <f t="shared" ref="F208:F215" si="32">IFERROR(INDEX(N:N, MATCH(C208, O:O, 0)), "Not Found")</f>
        <v>U18-EB</v>
      </c>
      <c r="G208" t="str">
        <f t="shared" ref="G208:G215" si="33">IFERROR(INDEX(Q:Q, MATCH(C208, O:O, 0)), "Not Found")</f>
        <v>24.547139, 46.667056</v>
      </c>
      <c r="L208">
        <v>207</v>
      </c>
      <c r="M208" s="79" t="s">
        <v>291</v>
      </c>
      <c r="N208" s="80" t="s">
        <v>945</v>
      </c>
      <c r="O208" s="81" t="s">
        <v>946</v>
      </c>
      <c r="P208" s="82" t="s">
        <v>9</v>
      </c>
      <c r="Q208" s="255" t="s">
        <v>1915</v>
      </c>
    </row>
    <row r="209" spans="1:17" ht="20.25">
      <c r="A209">
        <v>208</v>
      </c>
      <c r="B209" s="229" t="s">
        <v>69</v>
      </c>
      <c r="C209" s="6" t="s">
        <v>360</v>
      </c>
      <c r="E209" t="str">
        <f t="shared" si="31"/>
        <v>تقاطع طريق الامام سعود بن عبد العزيز مع الدائري الشرقي (شرق)</v>
      </c>
      <c r="F209" t="str">
        <f t="shared" si="32"/>
        <v>U18-EB</v>
      </c>
      <c r="G209" t="str">
        <f t="shared" si="33"/>
        <v>24.547139, 46.667056</v>
      </c>
      <c r="L209">
        <v>208</v>
      </c>
      <c r="M209" s="79" t="s">
        <v>291</v>
      </c>
      <c r="N209" s="80" t="s">
        <v>947</v>
      </c>
      <c r="O209" s="81" t="s">
        <v>948</v>
      </c>
      <c r="P209" s="82" t="s">
        <v>9</v>
      </c>
      <c r="Q209" s="255" t="s">
        <v>1916</v>
      </c>
    </row>
    <row r="210" spans="1:17" ht="20.25">
      <c r="A210">
        <v>209</v>
      </c>
      <c r="B210" s="229" t="s">
        <v>69</v>
      </c>
      <c r="C210" s="6" t="s">
        <v>361</v>
      </c>
      <c r="E210" t="str">
        <f t="shared" si="31"/>
        <v>تقاطع طريق الامام سعود بن عبد العزيز مع الدائري الشرقي (شرق)</v>
      </c>
      <c r="F210" t="str">
        <f t="shared" si="32"/>
        <v>U18-WB</v>
      </c>
      <c r="G210" t="str">
        <f t="shared" si="33"/>
        <v>24.532056, 46.654667</v>
      </c>
      <c r="L210">
        <v>209</v>
      </c>
      <c r="M210" s="79" t="s">
        <v>291</v>
      </c>
      <c r="N210" s="80" t="s">
        <v>949</v>
      </c>
      <c r="O210" s="81" t="s">
        <v>950</v>
      </c>
      <c r="P210" s="82" t="s">
        <v>9</v>
      </c>
      <c r="Q210" s="270" t="s">
        <v>1917</v>
      </c>
    </row>
    <row r="211" spans="1:17" ht="20.25">
      <c r="A211">
        <v>210</v>
      </c>
      <c r="B211" s="229" t="s">
        <v>69</v>
      </c>
      <c r="C211" s="6" t="s">
        <v>397</v>
      </c>
      <c r="E211" t="str">
        <f t="shared" si="31"/>
        <v>طريق مكه المكرمة - التخصصي - غرب</v>
      </c>
      <c r="F211" t="str">
        <f t="shared" si="32"/>
        <v>VMS TAKHASUSI WB</v>
      </c>
      <c r="G211" t="str">
        <f t="shared" si="33"/>
        <v xml:space="preserve"> 24.682322° -  46.686911°</v>
      </c>
      <c r="L211">
        <v>210</v>
      </c>
      <c r="M211" s="79" t="s">
        <v>291</v>
      </c>
      <c r="N211" s="80" t="s">
        <v>951</v>
      </c>
      <c r="O211" s="81" t="s">
        <v>952</v>
      </c>
      <c r="P211" s="82" t="s">
        <v>9</v>
      </c>
      <c r="Q211" s="270" t="s">
        <v>1918</v>
      </c>
    </row>
    <row r="212" spans="1:17" ht="20.25">
      <c r="A212">
        <v>211</v>
      </c>
      <c r="B212" s="229" t="s">
        <v>69</v>
      </c>
      <c r="C212" s="6" t="s">
        <v>448</v>
      </c>
      <c r="E212" t="str">
        <f t="shared" si="31"/>
        <v>طريق خريص - الحرس الوطني - شرق</v>
      </c>
      <c r="F212" t="str">
        <f t="shared" si="32"/>
        <v>VMS NATIONAL GUARD EB</v>
      </c>
      <c r="G212" t="str">
        <f t="shared" si="33"/>
        <v xml:space="preserve"> 24.773150° -  46.835167°</v>
      </c>
      <c r="L212">
        <v>211</v>
      </c>
      <c r="M212" s="79" t="s">
        <v>291</v>
      </c>
      <c r="N212" s="80" t="s">
        <v>953</v>
      </c>
      <c r="O212" s="81" t="s">
        <v>954</v>
      </c>
      <c r="P212" s="82" t="s">
        <v>9</v>
      </c>
      <c r="Q212" s="270" t="s">
        <v>1919</v>
      </c>
    </row>
    <row r="213" spans="1:17" ht="20.25">
      <c r="A213">
        <v>212</v>
      </c>
      <c r="B213" s="230" t="s">
        <v>68</v>
      </c>
      <c r="C213" s="6" t="s">
        <v>173</v>
      </c>
      <c r="E213" t="str">
        <f t="shared" si="31"/>
        <v>نفق طريق الملك عبدالله مع شارع مسعود الكرماني</v>
      </c>
      <c r="F213" t="str">
        <f t="shared" si="32"/>
        <v>U124_Abdullah_WE1</v>
      </c>
      <c r="G213" t="str">
        <f t="shared" si="33"/>
        <v>24.762105, 46.744615</v>
      </c>
      <c r="L213">
        <v>212</v>
      </c>
      <c r="M213" s="79" t="s">
        <v>291</v>
      </c>
      <c r="N213" s="80" t="s">
        <v>955</v>
      </c>
      <c r="O213" s="81" t="s">
        <v>956</v>
      </c>
      <c r="P213" s="82" t="s">
        <v>9</v>
      </c>
      <c r="Q213" s="270" t="s">
        <v>1920</v>
      </c>
    </row>
    <row r="214" spans="1:17" ht="21" thickBot="1">
      <c r="A214">
        <v>213</v>
      </c>
      <c r="B214" s="231" t="s">
        <v>68</v>
      </c>
      <c r="C214" s="6" t="s">
        <v>107</v>
      </c>
      <c r="E214" t="str">
        <f t="shared" si="31"/>
        <v>نفق تقاطع طريق الدائري الشرقي مع طريق المدينة المنورة (مخرج17)</v>
      </c>
      <c r="F214" t="str">
        <f t="shared" si="32"/>
        <v>EX17_TN_SN1</v>
      </c>
      <c r="G214" t="str">
        <f t="shared" si="33"/>
        <v>24.653228, 46.792334</v>
      </c>
      <c r="L214">
        <v>213</v>
      </c>
      <c r="M214" s="83" t="s">
        <v>291</v>
      </c>
      <c r="N214" s="84" t="s">
        <v>957</v>
      </c>
      <c r="O214" s="85" t="s">
        <v>958</v>
      </c>
      <c r="P214" s="86" t="s">
        <v>9</v>
      </c>
      <c r="Q214" s="271" t="s">
        <v>1921</v>
      </c>
    </row>
    <row r="215" spans="1:17" ht="20.25">
      <c r="A215">
        <v>214</v>
      </c>
      <c r="B215" s="231" t="s">
        <v>68</v>
      </c>
      <c r="C215" s="6" t="s">
        <v>123</v>
      </c>
      <c r="E215" t="str">
        <f t="shared" si="31"/>
        <v>نفق طريق الامام سعود بن عبدالعزيز تقاطع طريق الملك فهد (دلة)</v>
      </c>
      <c r="F215" t="str">
        <f t="shared" si="32"/>
        <v>U101_DALLA_TN1</v>
      </c>
      <c r="G215" t="str">
        <f t="shared" si="33"/>
        <v>24.744480, 46.655083</v>
      </c>
      <c r="L215">
        <v>214</v>
      </c>
      <c r="M215" s="93" t="s">
        <v>86</v>
      </c>
      <c r="N215" s="76" t="s">
        <v>959</v>
      </c>
      <c r="O215" s="94" t="s">
        <v>960</v>
      </c>
      <c r="P215" s="95" t="s">
        <v>1664</v>
      </c>
      <c r="Q215" s="266" t="s">
        <v>1922</v>
      </c>
    </row>
    <row r="216" spans="1:17" ht="20.25">
      <c r="A216">
        <v>215</v>
      </c>
      <c r="B216" s="226" t="s">
        <v>70</v>
      </c>
      <c r="C216" s="291" t="s">
        <v>83</v>
      </c>
      <c r="E216" t="str">
        <f>IFERROR(INDEX(M:M, MATCH(C216, P:P, 0)), "Not Found")</f>
        <v xml:space="preserve">تقاطع طريق الخرج مع طريق عمر بن الخطاب – ميدان العمل </v>
      </c>
      <c r="F216" t="str">
        <f>IFERROR(INDEX(N:N, MATCH(C216,P:P, 0)), "Not Found")</f>
        <v>U6-31-ew-1</v>
      </c>
      <c r="G216" t="str">
        <f>IFERROR(INDEX(Q:Q, MATCH(C216, P:P, 0)), "Not Found")</f>
        <v>24.649564, 46.734175</v>
      </c>
      <c r="L216">
        <v>215</v>
      </c>
      <c r="M216" s="96" t="s">
        <v>86</v>
      </c>
      <c r="N216" s="80" t="s">
        <v>961</v>
      </c>
      <c r="O216" s="97" t="s">
        <v>166</v>
      </c>
      <c r="P216" s="98" t="s">
        <v>1664</v>
      </c>
      <c r="Q216" s="264" t="s">
        <v>1923</v>
      </c>
    </row>
    <row r="217" spans="1:17" ht="20.25">
      <c r="A217">
        <v>216</v>
      </c>
      <c r="B217" s="225" t="s">
        <v>70</v>
      </c>
      <c r="C217" s="6" t="s">
        <v>44</v>
      </c>
      <c r="E217" t="str">
        <f>IFERROR(INDEX(M:M, MATCH(C217, P:P, 0)), "Not Found")</f>
        <v>نفق  تقاطع الطريق الدائري الثاني مع شارع السلامه (خشم العان 4)</v>
      </c>
      <c r="F217" t="str">
        <f>IFERROR(INDEX(N:N, MATCH(C217, P:P, 0)), "Not Found")</f>
        <v>khashm4_u149A_1</v>
      </c>
      <c r="G217" t="str">
        <f>IFERROR(INDEX(Q:Q, MATCH(C217, P:P, 0)), "Not Found")</f>
        <v>46.855436‬‏, 24.743596</v>
      </c>
      <c r="L217">
        <v>216</v>
      </c>
      <c r="M217" s="96" t="s">
        <v>86</v>
      </c>
      <c r="N217" s="80" t="s">
        <v>962</v>
      </c>
      <c r="O217" s="97" t="s">
        <v>963</v>
      </c>
      <c r="P217" s="98" t="s">
        <v>1664</v>
      </c>
      <c r="Q217" s="264" t="s">
        <v>1923</v>
      </c>
    </row>
    <row r="218" spans="1:17" ht="20.25">
      <c r="A218">
        <v>217</v>
      </c>
      <c r="B218" s="230" t="s">
        <v>68</v>
      </c>
      <c r="C218" s="6" t="s">
        <v>170</v>
      </c>
      <c r="E218" t="str">
        <f>IFERROR(INDEX(M:M, MATCH(C218, O:O, 0)), "Not Found")</f>
        <v>نفق مخرج 16 طريق الدائري الشرقي تقاطع طريق عمر بن الخطاب</v>
      </c>
      <c r="F218" t="str">
        <f>IFERROR(INDEX(N:N, MATCH(C218, O:O, 0)), "Not Found")</f>
        <v>EXIT16_TN_1</v>
      </c>
      <c r="G218" t="str">
        <f t="shared" ref="G218:G223" si="34">IFERROR(INDEX(Q:Q, MATCH(C218, O:O, 0)), "Not Found")</f>
        <v>24.666791, 46.784996</v>
      </c>
      <c r="L218">
        <v>217</v>
      </c>
      <c r="M218" s="96" t="s">
        <v>86</v>
      </c>
      <c r="N218" s="80" t="s">
        <v>964</v>
      </c>
      <c r="O218" s="97" t="s">
        <v>965</v>
      </c>
      <c r="P218" s="98" t="s">
        <v>1664</v>
      </c>
      <c r="Q218" s="264" t="s">
        <v>1923</v>
      </c>
    </row>
    <row r="219" spans="1:17" ht="20.25">
      <c r="A219">
        <v>218</v>
      </c>
      <c r="B219" s="231" t="s">
        <v>68</v>
      </c>
      <c r="C219" s="6" t="s">
        <v>156</v>
      </c>
      <c r="E219" t="str">
        <f>IFERROR(INDEX(M:M, MATCH(C219, O:O, 0)), "Not Found")</f>
        <v>تقاطع طريق الملك عبد العزيز مع شارع الجامعة (جسر الوشم)</v>
      </c>
      <c r="F219" t="str">
        <f>IFERROR(INDEX(N:N, MATCH(C219, O:O, 0)), "Not Found")</f>
        <v>C16-WSHM_WE2</v>
      </c>
      <c r="G219" t="str">
        <f t="shared" si="34"/>
        <v>24.653704,46.715367</v>
      </c>
      <c r="L219">
        <v>218</v>
      </c>
      <c r="M219" s="96" t="s">
        <v>86</v>
      </c>
      <c r="N219" s="80" t="s">
        <v>966</v>
      </c>
      <c r="O219" s="97" t="s">
        <v>967</v>
      </c>
      <c r="P219" s="98" t="s">
        <v>1664</v>
      </c>
      <c r="Q219" s="264" t="s">
        <v>1924</v>
      </c>
    </row>
    <row r="220" spans="1:17" ht="20.25">
      <c r="A220">
        <v>219</v>
      </c>
      <c r="B220" s="228" t="s">
        <v>69</v>
      </c>
      <c r="C220" s="224" t="s">
        <v>20</v>
      </c>
      <c r="E220" t="str">
        <f>IFERROR(INDEX(M:M, MATCH(C220, N:N, 0)), "Not Found")</f>
        <v>Not Found</v>
      </c>
      <c r="F220" t="str">
        <f>IFERROR(INDEX(O:O, MATCH(C220, N:N, 0)), "Not Found")</f>
        <v>Not Found</v>
      </c>
      <c r="G220" t="str">
        <f t="shared" si="34"/>
        <v>Not Found</v>
      </c>
      <c r="L220">
        <v>219</v>
      </c>
      <c r="M220" s="96" t="s">
        <v>86</v>
      </c>
      <c r="N220" s="80" t="s">
        <v>968</v>
      </c>
      <c r="O220" s="97" t="s">
        <v>969</v>
      </c>
      <c r="P220" s="98" t="s">
        <v>1665</v>
      </c>
      <c r="Q220" s="264" t="s">
        <v>1925</v>
      </c>
    </row>
    <row r="221" spans="1:17" ht="20.25">
      <c r="A221">
        <v>220</v>
      </c>
      <c r="B221" s="230" t="s">
        <v>68</v>
      </c>
      <c r="C221" s="6" t="s">
        <v>175</v>
      </c>
      <c r="E221" t="str">
        <f>IFERROR(INDEX(M:M, MATCH(C221, O:O, 0)), "Not Found")</f>
        <v xml:space="preserve">تقاطع شارع الوشم مع شارع الناصرية - وزارة الخارجية </v>
      </c>
      <c r="F221" t="str">
        <f>IFERROR(INDEX(N:N, MATCH(C221, O:O, 0)), "Not Found")</f>
        <v>u10-22-we2</v>
      </c>
      <c r="G221" t="str">
        <f t="shared" si="34"/>
        <v>24.647596, 46.688828</v>
      </c>
      <c r="L221">
        <v>220</v>
      </c>
      <c r="M221" s="96" t="s">
        <v>86</v>
      </c>
      <c r="N221" s="80" t="s">
        <v>970</v>
      </c>
      <c r="O221" s="97" t="s">
        <v>971</v>
      </c>
      <c r="P221" s="98" t="s">
        <v>1665</v>
      </c>
      <c r="Q221" s="264" t="s">
        <v>1926</v>
      </c>
    </row>
    <row r="222" spans="1:17" ht="20.25">
      <c r="A222">
        <v>221</v>
      </c>
      <c r="B222" s="228" t="s">
        <v>69</v>
      </c>
      <c r="C222" s="224" t="s">
        <v>20</v>
      </c>
      <c r="E222" t="str">
        <f>IFERROR(INDEX(M:M, MATCH(C222, N:N, 0)), "Not Found")</f>
        <v>Not Found</v>
      </c>
      <c r="F222" t="str">
        <f>IFERROR(INDEX(O:O, MATCH(C222, N:N, 0)), "Not Found")</f>
        <v>Not Found</v>
      </c>
      <c r="G222" t="str">
        <f t="shared" si="34"/>
        <v>Not Found</v>
      </c>
      <c r="L222">
        <v>221</v>
      </c>
      <c r="M222" s="96" t="s">
        <v>86</v>
      </c>
      <c r="N222" s="80" t="s">
        <v>972</v>
      </c>
      <c r="O222" s="97" t="s">
        <v>973</v>
      </c>
      <c r="P222" s="98" t="s">
        <v>1665</v>
      </c>
      <c r="Q222" s="264" t="s">
        <v>1927</v>
      </c>
    </row>
    <row r="223" spans="1:17" ht="21" thickBot="1">
      <c r="A223">
        <v>222</v>
      </c>
      <c r="B223" s="229" t="s">
        <v>69</v>
      </c>
      <c r="C223" s="224" t="s">
        <v>20</v>
      </c>
      <c r="E223" t="str">
        <f>IFERROR(INDEX(M:M, MATCH(C223, N:N, 0)), "Not Found")</f>
        <v>Not Found</v>
      </c>
      <c r="F223" t="str">
        <f>IFERROR(INDEX(O:O, MATCH(C223, N:N, 0)), "Not Found")</f>
        <v>Not Found</v>
      </c>
      <c r="G223" t="str">
        <f t="shared" si="34"/>
        <v>Not Found</v>
      </c>
      <c r="L223">
        <v>222</v>
      </c>
      <c r="M223" s="99" t="s">
        <v>86</v>
      </c>
      <c r="N223" s="84" t="s">
        <v>974</v>
      </c>
      <c r="O223" s="100" t="s">
        <v>975</v>
      </c>
      <c r="P223" s="101" t="s">
        <v>1665</v>
      </c>
      <c r="Q223" s="265" t="s">
        <v>1926</v>
      </c>
    </row>
    <row r="224" spans="1:17" ht="20.25">
      <c r="A224">
        <v>223</v>
      </c>
      <c r="B224" s="225" t="s">
        <v>70</v>
      </c>
      <c r="C224" s="6" t="s">
        <v>56</v>
      </c>
      <c r="E224" t="str">
        <f t="shared" ref="E224:E230" si="35">IFERROR(INDEX(M:M, MATCH(C224, P:P, 0)), "Not Found")</f>
        <v>نفق تقاطع الطريق الدائري الثاني مع طريق أبوعبيدة بن الجراح (خشم العان2)</v>
      </c>
      <c r="F224" t="str">
        <f>IFERROR(INDEX(N:N, MATCH(C224, P:P, 0)), "Not Found")</f>
        <v>Khashm2_TN_1</v>
      </c>
      <c r="G224" t="str">
        <f t="shared" ref="G224:G230" si="36">IFERROR(INDEX(Q:Q, MATCH(C224, P:P, 0)), "Not Found")</f>
        <v>24.6916830,46.8561393</v>
      </c>
      <c r="L224">
        <v>223</v>
      </c>
      <c r="M224" s="93" t="s">
        <v>87</v>
      </c>
      <c r="N224" s="76" t="s">
        <v>976</v>
      </c>
      <c r="O224" s="94" t="s">
        <v>977</v>
      </c>
      <c r="P224" s="95" t="s">
        <v>40</v>
      </c>
      <c r="Q224" s="266" t="s">
        <v>1928</v>
      </c>
    </row>
    <row r="225" spans="1:17" ht="20.25">
      <c r="A225">
        <v>224</v>
      </c>
      <c r="B225" s="225" t="s">
        <v>70</v>
      </c>
      <c r="C225" s="6" t="s">
        <v>57</v>
      </c>
      <c r="E225" t="str">
        <f t="shared" si="35"/>
        <v xml:space="preserve">نفق  تقاطع الطريق الدائري الثاني أمام إسكان الحرس الوطني </v>
      </c>
      <c r="F225" t="str">
        <f>IFERROR(INDEX(N:N, MATCH(C225, P:P, 0)), "Not Found")</f>
        <v>NGuard_TN_1</v>
      </c>
      <c r="G225" t="str">
        <f t="shared" si="36"/>
        <v>24.678051, 46.857021</v>
      </c>
      <c r="L225">
        <v>224</v>
      </c>
      <c r="M225" s="96" t="s">
        <v>87</v>
      </c>
      <c r="N225" s="80" t="s">
        <v>978</v>
      </c>
      <c r="O225" s="97" t="s">
        <v>167</v>
      </c>
      <c r="P225" s="98" t="s">
        <v>40</v>
      </c>
      <c r="Q225" s="264" t="s">
        <v>1929</v>
      </c>
    </row>
    <row r="226" spans="1:17" ht="20.25">
      <c r="A226">
        <v>225</v>
      </c>
      <c r="B226" s="225" t="s">
        <v>70</v>
      </c>
      <c r="C226" s="6" t="s">
        <v>56</v>
      </c>
      <c r="E226" t="str">
        <f t="shared" si="35"/>
        <v>نفق تقاطع الطريق الدائري الثاني مع طريق أبوعبيدة بن الجراح (خشم العان2)</v>
      </c>
      <c r="F226" t="str">
        <f>IFERROR(INDEX(N:N, MATCH(C226, P:P, 0)), "Not Found")</f>
        <v>Khashm2_TN_1</v>
      </c>
      <c r="G226" t="str">
        <f t="shared" si="36"/>
        <v>24.6916830,46.8561393</v>
      </c>
      <c r="L226">
        <v>225</v>
      </c>
      <c r="M226" s="96" t="s">
        <v>87</v>
      </c>
      <c r="N226" s="80" t="s">
        <v>979</v>
      </c>
      <c r="O226" s="97" t="s">
        <v>980</v>
      </c>
      <c r="P226" s="98" t="s">
        <v>40</v>
      </c>
      <c r="Q226" s="264" t="s">
        <v>1930</v>
      </c>
    </row>
    <row r="227" spans="1:17" ht="20.25">
      <c r="A227">
        <v>226</v>
      </c>
      <c r="B227" s="225" t="s">
        <v>70</v>
      </c>
      <c r="C227" s="6" t="s">
        <v>57</v>
      </c>
      <c r="E227" t="str">
        <f t="shared" si="35"/>
        <v xml:space="preserve">نفق  تقاطع الطريق الدائري الثاني أمام إسكان الحرس الوطني </v>
      </c>
      <c r="F227" t="str">
        <f>IFERROR(INDEX(N:N, MATCH(C227, P:P, 0)), "Not Found")</f>
        <v>NGuard_TN_1</v>
      </c>
      <c r="G227" t="str">
        <f t="shared" si="36"/>
        <v>24.678051, 46.857021</v>
      </c>
      <c r="L227">
        <v>226</v>
      </c>
      <c r="M227" s="96" t="s">
        <v>87</v>
      </c>
      <c r="N227" s="80" t="s">
        <v>981</v>
      </c>
      <c r="O227" s="97" t="s">
        <v>982</v>
      </c>
      <c r="P227" s="98" t="s">
        <v>40</v>
      </c>
      <c r="Q227" s="264" t="s">
        <v>1930</v>
      </c>
    </row>
    <row r="228" spans="1:17" ht="20.25">
      <c r="A228">
        <v>227</v>
      </c>
      <c r="B228" s="225" t="s">
        <v>70</v>
      </c>
      <c r="C228" s="6" t="s">
        <v>7</v>
      </c>
      <c r="E228" t="str">
        <f t="shared" si="35"/>
        <v>نفق تقاطع السكة الحديد مع امتداد الطريق الدائرى الشرقى</v>
      </c>
      <c r="F228" t="str">
        <f>IFERROR(INDEX(N:N, MATCH(C228, P:P, 0)), "Not Found")</f>
        <v>Railway_TN_1</v>
      </c>
      <c r="G228" t="str">
        <f t="shared" si="36"/>
        <v>24.592289, 46.848834</v>
      </c>
      <c r="L228">
        <v>227</v>
      </c>
      <c r="M228" s="96" t="s">
        <v>87</v>
      </c>
      <c r="N228" s="80" t="s">
        <v>983</v>
      </c>
      <c r="O228" s="97" t="s">
        <v>168</v>
      </c>
      <c r="P228" s="98" t="s">
        <v>46</v>
      </c>
      <c r="Q228" s="264" t="s">
        <v>1931</v>
      </c>
    </row>
    <row r="229" spans="1:17" ht="20.25">
      <c r="A229">
        <v>228</v>
      </c>
      <c r="B229" s="225" t="s">
        <v>70</v>
      </c>
      <c r="C229" s="224" t="s">
        <v>58</v>
      </c>
      <c r="E229" t="str">
        <f t="shared" si="35"/>
        <v>Not Found</v>
      </c>
      <c r="F229" t="str">
        <f>IFERROR(INDEX(N:N, MATCH(C229,P:P, 0)), "Not Found")</f>
        <v>Not Found</v>
      </c>
      <c r="G229" t="str">
        <f t="shared" si="36"/>
        <v>Not Found</v>
      </c>
      <c r="L229">
        <v>228</v>
      </c>
      <c r="M229" s="96" t="s">
        <v>87</v>
      </c>
      <c r="N229" s="80" t="s">
        <v>984</v>
      </c>
      <c r="O229" s="97" t="s">
        <v>985</v>
      </c>
      <c r="P229" s="98" t="s">
        <v>46</v>
      </c>
      <c r="Q229" s="264" t="s">
        <v>1932</v>
      </c>
    </row>
    <row r="230" spans="1:17" ht="20.25">
      <c r="A230">
        <v>229</v>
      </c>
      <c r="B230" s="225" t="s">
        <v>70</v>
      </c>
      <c r="C230" s="224" t="s">
        <v>58</v>
      </c>
      <c r="E230" t="str">
        <f t="shared" si="35"/>
        <v>Not Found</v>
      </c>
      <c r="F230" t="str">
        <f>IFERROR(INDEX(N:N, MATCH(C230,P:P, 0)), "Not Found")</f>
        <v>Not Found</v>
      </c>
      <c r="G230" t="str">
        <f t="shared" si="36"/>
        <v>Not Found</v>
      </c>
      <c r="L230">
        <v>229</v>
      </c>
      <c r="M230" s="96" t="s">
        <v>87</v>
      </c>
      <c r="N230" s="80" t="s">
        <v>986</v>
      </c>
      <c r="O230" s="97" t="s">
        <v>987</v>
      </c>
      <c r="P230" s="98" t="s">
        <v>46</v>
      </c>
      <c r="Q230" s="264" t="s">
        <v>1933</v>
      </c>
    </row>
    <row r="231" spans="1:17" ht="21" thickBot="1">
      <c r="A231">
        <v>230</v>
      </c>
      <c r="B231" s="230" t="s">
        <v>68</v>
      </c>
      <c r="C231" s="6" t="s">
        <v>165</v>
      </c>
      <c r="E231" t="str">
        <f>IFERROR(INDEX(M:M, MATCH(C231, O:O, 0)), "Not Found")</f>
        <v xml:space="preserve">تقاطع شارع السويدي العام مع شارع عبد الملك بن هاشم </v>
      </c>
      <c r="F231" t="str">
        <f>IFERROR(INDEX(N:N, MATCH(C231, O:O, 0)), "Not Found")</f>
        <v>u9-ew-2</v>
      </c>
      <c r="G231" t="str">
        <f>IFERROR(INDEX(Q:Q, MATCH(C231, O:O, 0)), "Not Found")</f>
        <v>24.590330, 46.672734</v>
      </c>
      <c r="L231">
        <v>230</v>
      </c>
      <c r="M231" s="99" t="s">
        <v>87</v>
      </c>
      <c r="N231" s="84" t="s">
        <v>988</v>
      </c>
      <c r="O231" s="100" t="s">
        <v>989</v>
      </c>
      <c r="P231" s="101" t="s">
        <v>46</v>
      </c>
      <c r="Q231" s="265" t="s">
        <v>1931</v>
      </c>
    </row>
    <row r="232" spans="1:17" ht="20.25">
      <c r="A232">
        <v>231</v>
      </c>
      <c r="B232" s="226" t="s">
        <v>70</v>
      </c>
      <c r="C232" s="291" t="s">
        <v>23</v>
      </c>
      <c r="E232" t="str">
        <f>IFERROR(INDEX(M:M, MATCH(C232, P:P, 0)), "Not Found")</f>
        <v xml:space="preserve">تقاطع شارع السويدي العام مع شارع عبد الملك بن هاشم </v>
      </c>
      <c r="F232" t="str">
        <f>IFERROR(INDEX(N:N, MATCH(C232,P:P, 0)), "Not Found")</f>
        <v>u9-ew-2</v>
      </c>
      <c r="G232" t="str">
        <f>IFERROR(INDEX(Q:Q, MATCH(C232, P:P, 0)), "Not Found")</f>
        <v>24.590330, 46.672734</v>
      </c>
      <c r="L232">
        <v>231</v>
      </c>
      <c r="M232" s="93" t="s">
        <v>88</v>
      </c>
      <c r="N232" s="76" t="s">
        <v>990</v>
      </c>
      <c r="O232" s="94" t="s">
        <v>169</v>
      </c>
      <c r="P232" s="95" t="s">
        <v>28</v>
      </c>
      <c r="Q232" s="266" t="s">
        <v>1934</v>
      </c>
    </row>
    <row r="233" spans="1:17" ht="20.25">
      <c r="A233">
        <v>232</v>
      </c>
      <c r="B233" s="225" t="s">
        <v>70</v>
      </c>
      <c r="C233" s="6" t="s">
        <v>56</v>
      </c>
      <c r="E233" t="str">
        <f>IFERROR(INDEX(M:M, MATCH(C233, P:P, 0)), "Not Found")</f>
        <v>نفق تقاطع الطريق الدائري الثاني مع طريق أبوعبيدة بن الجراح (خشم العان2)</v>
      </c>
      <c r="F233" t="str">
        <f>IFERROR(INDEX(N:N, MATCH(C233, P:P, 0)), "Not Found")</f>
        <v>Khashm2_TN_1</v>
      </c>
      <c r="G233" t="str">
        <f>IFERROR(INDEX(Q:Q, MATCH(C233, P:P, 0)), "Not Found")</f>
        <v>24.6916830,46.8561393</v>
      </c>
      <c r="L233">
        <v>232</v>
      </c>
      <c r="M233" s="96" t="s">
        <v>88</v>
      </c>
      <c r="N233" s="80" t="s">
        <v>991</v>
      </c>
      <c r="O233" s="97" t="s">
        <v>992</v>
      </c>
      <c r="P233" s="98" t="s">
        <v>28</v>
      </c>
      <c r="Q233" s="264" t="s">
        <v>1934</v>
      </c>
    </row>
    <row r="234" spans="1:17" ht="20.25">
      <c r="A234">
        <v>233</v>
      </c>
      <c r="B234" s="225" t="s">
        <v>70</v>
      </c>
      <c r="C234" s="6" t="s">
        <v>57</v>
      </c>
      <c r="E234" t="str">
        <f>IFERROR(INDEX(M:M, MATCH(C234, P:P, 0)), "Not Found")</f>
        <v xml:space="preserve">نفق  تقاطع الطريق الدائري الثاني أمام إسكان الحرس الوطني </v>
      </c>
      <c r="F234" t="str">
        <f>IFERROR(INDEX(N:N, MATCH(C234, P:P, 0)), "Not Found")</f>
        <v>NGuard_TN_1</v>
      </c>
      <c r="G234" t="str">
        <f>IFERROR(INDEX(Q:Q, MATCH(C234, P:P, 0)), "Not Found")</f>
        <v>24.678051, 46.857021</v>
      </c>
      <c r="L234">
        <v>233</v>
      </c>
      <c r="M234" s="96" t="s">
        <v>88</v>
      </c>
      <c r="N234" s="80" t="s">
        <v>993</v>
      </c>
      <c r="O234" s="97" t="s">
        <v>994</v>
      </c>
      <c r="P234" s="98" t="s">
        <v>28</v>
      </c>
      <c r="Q234" s="264" t="s">
        <v>1935</v>
      </c>
    </row>
    <row r="235" spans="1:17" ht="20.25">
      <c r="A235">
        <v>234</v>
      </c>
      <c r="B235" s="230" t="s">
        <v>68</v>
      </c>
      <c r="C235" s="6" t="s">
        <v>117</v>
      </c>
      <c r="E235" t="str">
        <f>IFERROR(INDEX(M:M, MATCH(C235, O:O, 0)), "Not Found")</f>
        <v>عمود طريق مكة المكرمة -  التخصصي - غرب</v>
      </c>
      <c r="F235" t="str">
        <f>IFERROR(INDEX(N:N, MATCH(C235, O:O, 0)), "Not Found")</f>
        <v>MAK-TKHSOSI-POLE-W</v>
      </c>
      <c r="G235" t="str">
        <f>IFERROR(INDEX(Q:Q, MATCH(C235, O:O, 0)), "Not Found")</f>
        <v>24.676510, 46.682608</v>
      </c>
      <c r="L235">
        <v>234</v>
      </c>
      <c r="M235" s="96" t="s">
        <v>88</v>
      </c>
      <c r="N235" s="80" t="s">
        <v>995</v>
      </c>
      <c r="O235" s="97" t="s">
        <v>996</v>
      </c>
      <c r="P235" s="98" t="s">
        <v>28</v>
      </c>
      <c r="Q235" s="264" t="s">
        <v>1935</v>
      </c>
    </row>
    <row r="236" spans="1:17" ht="20.25">
      <c r="A236">
        <v>235</v>
      </c>
      <c r="B236" s="231" t="s">
        <v>68</v>
      </c>
      <c r="C236" s="6" t="s">
        <v>165</v>
      </c>
      <c r="E236" t="str">
        <f>IFERROR(INDEX(M:M, MATCH(C236, O:O, 0)), "Not Found")</f>
        <v xml:space="preserve">تقاطع شارع السويدي العام مع شارع عبد الملك بن هاشم </v>
      </c>
      <c r="F236" t="str">
        <f>IFERROR(INDEX(N:N, MATCH(C236, O:O, 0)), "Not Found")</f>
        <v>u9-ew-2</v>
      </c>
      <c r="G236" t="str">
        <f>IFERROR(INDEX(Q:Q, MATCH(C236, O:O, 0)), "Not Found")</f>
        <v>24.590330, 46.672734</v>
      </c>
      <c r="L236">
        <v>235</v>
      </c>
      <c r="M236" s="96" t="s">
        <v>88</v>
      </c>
      <c r="N236" s="80" t="s">
        <v>997</v>
      </c>
      <c r="O236" s="97" t="s">
        <v>998</v>
      </c>
      <c r="P236" s="98" t="s">
        <v>28</v>
      </c>
      <c r="Q236" s="264" t="s">
        <v>1936</v>
      </c>
    </row>
    <row r="237" spans="1:17" ht="20.25">
      <c r="A237">
        <v>236</v>
      </c>
      <c r="B237" s="231" t="s">
        <v>68</v>
      </c>
      <c r="C237" s="6" t="s">
        <v>157</v>
      </c>
      <c r="E237" t="str">
        <f>IFERROR(INDEX(M:M, MATCH(C237, O:O, 0)), "Not Found")</f>
        <v>تقاطع طريق الأمير عبد العزيز بن مساعد بن جلوي مع شارع المعذر</v>
      </c>
      <c r="F237" t="str">
        <f>IFERROR(INDEX(N:N, MATCH(C237, O:O, 0)), "Not Found")</f>
        <v>U1-SN-1</v>
      </c>
      <c r="G237" t="str">
        <f>IFERROR(INDEX(Q:Q, MATCH(C237, O:O, 0)), "Not Found")</f>
        <v>246751933,46.7035789</v>
      </c>
      <c r="L237">
        <v>236</v>
      </c>
      <c r="M237" s="96" t="s">
        <v>88</v>
      </c>
      <c r="N237" s="80" t="s">
        <v>999</v>
      </c>
      <c r="O237" s="97" t="s">
        <v>1000</v>
      </c>
      <c r="P237" s="98" t="s">
        <v>28</v>
      </c>
      <c r="Q237" s="264" t="s">
        <v>1937</v>
      </c>
    </row>
    <row r="238" spans="1:17" ht="20.25">
      <c r="A238">
        <v>237</v>
      </c>
      <c r="B238" s="231" t="s">
        <v>68</v>
      </c>
      <c r="C238" s="6" t="s">
        <v>165</v>
      </c>
      <c r="E238" t="str">
        <f>IFERROR(INDEX(M:M, MATCH(C238, O:O, 0)), "Not Found")</f>
        <v xml:space="preserve">تقاطع شارع السويدي العام مع شارع عبد الملك بن هاشم </v>
      </c>
      <c r="F238" t="str">
        <f>IFERROR(INDEX(N:N, MATCH(C238, O:O, 0)), "Not Found")</f>
        <v>u9-ew-2</v>
      </c>
      <c r="G238" t="str">
        <f>IFERROR(INDEX(Q:Q, MATCH(C238, O:O, 0)), "Not Found")</f>
        <v>24.590330, 46.672734</v>
      </c>
      <c r="L238">
        <v>237</v>
      </c>
      <c r="M238" s="96" t="s">
        <v>88</v>
      </c>
      <c r="N238" s="80" t="s">
        <v>1001</v>
      </c>
      <c r="O238" s="97" t="s">
        <v>1002</v>
      </c>
      <c r="P238" s="98" t="s">
        <v>28</v>
      </c>
      <c r="Q238" s="264" t="s">
        <v>1934</v>
      </c>
    </row>
    <row r="239" spans="1:17" ht="21" thickBot="1">
      <c r="A239">
        <v>238</v>
      </c>
      <c r="B239" s="226" t="s">
        <v>70</v>
      </c>
      <c r="C239" s="291" t="s">
        <v>37</v>
      </c>
      <c r="E239" t="str">
        <f>IFERROR(INDEX(M:M, MATCH(C239, P:P, 0)), "Not Found")</f>
        <v>نفق بترومين طريق الخرج  بعد شركة مياه بيرين  اتجاه الشمال</v>
      </c>
      <c r="F239" t="str">
        <f>IFERROR(INDEX(N:N, MATCH(C239,P:P, 0)), "Not Found")</f>
        <v>Petromin_TN_1</v>
      </c>
      <c r="G239" t="str">
        <f>IFERROR(INDEX(Q:Q, MATCH(C239, P:P, 0)), "Not Found")</f>
        <v>24.540857,46.877738</v>
      </c>
      <c r="L239">
        <v>238</v>
      </c>
      <c r="M239" s="99" t="s">
        <v>88</v>
      </c>
      <c r="N239" s="84" t="s">
        <v>1003</v>
      </c>
      <c r="O239" s="100" t="s">
        <v>1004</v>
      </c>
      <c r="P239" s="101" t="s">
        <v>28</v>
      </c>
      <c r="Q239" s="265" t="s">
        <v>1935</v>
      </c>
    </row>
    <row r="240" spans="1:17" ht="20.25">
      <c r="A240">
        <v>239</v>
      </c>
      <c r="B240" s="230" t="s">
        <v>68</v>
      </c>
      <c r="C240" s="6" t="s">
        <v>161</v>
      </c>
      <c r="E240" t="str">
        <f>IFERROR(INDEX(M:M, MATCH(C240, O:O, 0)), "Not Found")</f>
        <v>نفق بترومين طريق الخرج  بعد شركة مياه بيرين  اتجاه الشمال</v>
      </c>
      <c r="F240" t="str">
        <f>IFERROR(INDEX(N:N, MATCH(C240, O:O, 0)), "Not Found")</f>
        <v>Petromin_TN_1</v>
      </c>
      <c r="G240" t="str">
        <f>IFERROR(INDEX(Q:Q, MATCH(C240, O:O, 0)), "Not Found")</f>
        <v>24.540857,46.877738</v>
      </c>
      <c r="L240">
        <v>239</v>
      </c>
      <c r="M240" s="75" t="s">
        <v>305</v>
      </c>
      <c r="N240" s="76" t="s">
        <v>1005</v>
      </c>
      <c r="O240" s="77" t="s">
        <v>129</v>
      </c>
      <c r="P240" s="78" t="s">
        <v>105</v>
      </c>
      <c r="Q240" s="272" t="s">
        <v>1938</v>
      </c>
    </row>
    <row r="241" spans="1:17" ht="20.25">
      <c r="A241">
        <v>240</v>
      </c>
      <c r="B241" s="226" t="s">
        <v>70</v>
      </c>
      <c r="C241" s="6" t="s">
        <v>41</v>
      </c>
      <c r="E241" t="str">
        <f>IFERROR(INDEX(M:M, MATCH(C241, P:P, 0)), "Not Found")</f>
        <v>تقاطع طريق سعد بن عبد الرحمن الأول مع طريق الامام الشافعي</v>
      </c>
      <c r="F241" t="str">
        <f>IFERROR(INDEX(N:N, MATCH(C241, P:P, 0)), "Not Found")</f>
        <v>U21-EW-1</v>
      </c>
      <c r="G241" t="str">
        <f>IFERROR(INDEX(Q:Q, MATCH(C241, P:P, 0)), "Not Found")</f>
        <v>24.693215, 46.809979</v>
      </c>
      <c r="L241">
        <v>240</v>
      </c>
      <c r="M241" s="79" t="s">
        <v>305</v>
      </c>
      <c r="N241" s="80" t="s">
        <v>1006</v>
      </c>
      <c r="O241" s="81" t="s">
        <v>1007</v>
      </c>
      <c r="P241" s="82" t="s">
        <v>105</v>
      </c>
      <c r="Q241" s="248" t="s">
        <v>1939</v>
      </c>
    </row>
    <row r="242" spans="1:17" ht="20.25">
      <c r="A242">
        <v>241</v>
      </c>
      <c r="B242" s="225" t="s">
        <v>70</v>
      </c>
      <c r="C242" s="6" t="s">
        <v>41</v>
      </c>
      <c r="E242" t="str">
        <f>IFERROR(INDEX(M:M, MATCH(C242, P:P, 0)), "Not Found")</f>
        <v>تقاطع طريق سعد بن عبد الرحمن الأول مع طريق الامام الشافعي</v>
      </c>
      <c r="F242" t="str">
        <f>IFERROR(INDEX(N:N, MATCH(C242, P:P, 0)), "Not Found")</f>
        <v>U21-EW-1</v>
      </c>
      <c r="G242" t="str">
        <f>IFERROR(INDEX(Q:Q, MATCH(C242, P:P, 0)), "Not Found")</f>
        <v>24.693215, 46.809979</v>
      </c>
      <c r="L242">
        <v>241</v>
      </c>
      <c r="M242" s="79" t="s">
        <v>305</v>
      </c>
      <c r="N242" s="80" t="s">
        <v>1008</v>
      </c>
      <c r="O242" s="81" t="s">
        <v>1009</v>
      </c>
      <c r="P242" s="82" t="s">
        <v>105</v>
      </c>
      <c r="Q242" s="248" t="s">
        <v>1940</v>
      </c>
    </row>
    <row r="243" spans="1:17" ht="20.25">
      <c r="A243">
        <v>242</v>
      </c>
      <c r="B243" s="229" t="s">
        <v>69</v>
      </c>
      <c r="C243" s="224" t="s">
        <v>20</v>
      </c>
      <c r="E243" t="str">
        <f>IFERROR(INDEX(M:M, MATCH(C243, N:N, 0)), "Not Found")</f>
        <v>Not Found</v>
      </c>
      <c r="F243" t="str">
        <f>IFERROR(INDEX(O:O, MATCH(C243, N:N, 0)), "Not Found")</f>
        <v>Not Found</v>
      </c>
      <c r="G243" t="str">
        <f>IFERROR(INDEX(Q:Q, MATCH(C243, O:O, 0)), "Not Found")</f>
        <v>Not Found</v>
      </c>
      <c r="L243">
        <v>242</v>
      </c>
      <c r="M243" s="79" t="s">
        <v>305</v>
      </c>
      <c r="N243" s="80" t="s">
        <v>1010</v>
      </c>
      <c r="O243" s="81" t="s">
        <v>1011</v>
      </c>
      <c r="P243" s="82" t="s">
        <v>105</v>
      </c>
      <c r="Q243" s="248" t="s">
        <v>1941</v>
      </c>
    </row>
    <row r="244" spans="1:17" ht="20.25">
      <c r="A244">
        <v>243</v>
      </c>
      <c r="B244" s="225" t="s">
        <v>70</v>
      </c>
      <c r="C244" s="6" t="s">
        <v>59</v>
      </c>
      <c r="E244" t="str">
        <f>IFERROR(INDEX(M:M, MATCH(C244, P:P, 0)), "Not Found")</f>
        <v>نفق طريق الامام سعود بن عبدالعزيز تقاطع طريق الملك فهد (دلة)</v>
      </c>
      <c r="F244" t="str">
        <f>IFERROR(INDEX(N:N, MATCH(C244, P:P, 0)), "Not Found")</f>
        <v>U101_DALLA_TN1</v>
      </c>
      <c r="G244" t="str">
        <f>IFERROR(INDEX(Q:Q, MATCH(C244, P:P, 0)), "Not Found")</f>
        <v>24.744480, 46.655083</v>
      </c>
      <c r="L244">
        <v>243</v>
      </c>
      <c r="M244" s="79" t="s">
        <v>305</v>
      </c>
      <c r="N244" s="80" t="s">
        <v>1012</v>
      </c>
      <c r="O244" s="81" t="s">
        <v>1013</v>
      </c>
      <c r="P244" s="82" t="s">
        <v>105</v>
      </c>
      <c r="Q244" s="270" t="s">
        <v>1942</v>
      </c>
    </row>
    <row r="245" spans="1:17" ht="20.25">
      <c r="A245">
        <v>244</v>
      </c>
      <c r="B245" s="225" t="s">
        <v>70</v>
      </c>
      <c r="C245" s="6" t="s">
        <v>33</v>
      </c>
      <c r="E245" t="str">
        <f>IFERROR(INDEX(M:M, MATCH(C245, P:P, 0)), "Not Found")</f>
        <v>نفق طريق التخصصي تقاطع طريق الامام سعود (سباتكو)</v>
      </c>
      <c r="F245" t="str">
        <f>IFERROR(INDEX(N:N, MATCH(C245, P:P, 0)), "Not Found")</f>
        <v>SAPTCO_TN_NS2</v>
      </c>
      <c r="G245" t="str">
        <f>IFERROR(INDEX(Q:Q, MATCH(C245, P:P, 0)), "Not Found")</f>
        <v>24.740012, 46.645672</v>
      </c>
      <c r="L245">
        <v>244</v>
      </c>
      <c r="M245" s="79" t="s">
        <v>305</v>
      </c>
      <c r="N245" s="80" t="s">
        <v>1012</v>
      </c>
      <c r="O245" s="81" t="s">
        <v>1014</v>
      </c>
      <c r="P245" s="82" t="s">
        <v>105</v>
      </c>
      <c r="Q245" s="270" t="s">
        <v>1942</v>
      </c>
    </row>
    <row r="246" spans="1:17" ht="20.25">
      <c r="A246">
        <v>245</v>
      </c>
      <c r="B246" s="229" t="s">
        <v>69</v>
      </c>
      <c r="C246" s="6" t="s">
        <v>376</v>
      </c>
      <c r="E246" t="str">
        <f t="shared" ref="E246:E256" si="37">IFERROR(INDEX(M:M, MATCH(C246, O:O, 0)), "Not Found")</f>
        <v>طريق الملك سلمان - عثمان بن عفان - غرب</v>
      </c>
      <c r="F246" t="str">
        <f t="shared" ref="F246:F256" si="38">IFERROR(INDEX(N:N, MATCH(C246, O:O, 0)), "Not Found")</f>
        <v>VMS KING SALMAN OTHMAN WB</v>
      </c>
      <c r="G246" t="str">
        <f t="shared" ref="G246:G256" si="39">IFERROR(INDEX(Q:Q, MATCH(C246, O:O, 0)), "Not Found")</f>
        <v>24.823245, 46.698389</v>
      </c>
      <c r="L246">
        <v>245</v>
      </c>
      <c r="M246" s="79" t="s">
        <v>305</v>
      </c>
      <c r="N246" s="80" t="s">
        <v>1015</v>
      </c>
      <c r="O246" s="81" t="s">
        <v>1016</v>
      </c>
      <c r="P246" s="82" t="s">
        <v>105</v>
      </c>
      <c r="Q246" s="248" t="s">
        <v>1943</v>
      </c>
    </row>
    <row r="247" spans="1:17" ht="21" thickBot="1">
      <c r="A247">
        <v>246</v>
      </c>
      <c r="B247" s="229" t="s">
        <v>69</v>
      </c>
      <c r="C247" s="6" t="s">
        <v>403</v>
      </c>
      <c r="E247" t="str">
        <f t="shared" si="37"/>
        <v>طريق الملك فهد - أنس ابن مالك - شمال</v>
      </c>
      <c r="F247" t="str">
        <f t="shared" si="38"/>
        <v>VMS KING FAHD ANAS IBN MALIK NB</v>
      </c>
      <c r="G247" t="str">
        <f t="shared" si="39"/>
        <v>24.676441°, 46.682630°</v>
      </c>
      <c r="L247">
        <v>246</v>
      </c>
      <c r="M247" s="83" t="s">
        <v>305</v>
      </c>
      <c r="N247" s="84" t="s">
        <v>1017</v>
      </c>
      <c r="O247" s="85" t="s">
        <v>1018</v>
      </c>
      <c r="P247" s="86" t="s">
        <v>105</v>
      </c>
      <c r="Q247" s="249" t="s">
        <v>1944</v>
      </c>
    </row>
    <row r="248" spans="1:17" ht="20.25">
      <c r="A248">
        <v>247</v>
      </c>
      <c r="B248" s="229" t="s">
        <v>69</v>
      </c>
      <c r="C248" s="6" t="s">
        <v>399</v>
      </c>
      <c r="E248" t="str">
        <f t="shared" si="37"/>
        <v>طريق الملك فهد - الإمام سعود بن فيصل - جنوب</v>
      </c>
      <c r="F248" t="str">
        <f t="shared" si="38"/>
        <v>VMS KING FAHD SAUD FAISAL SB</v>
      </c>
      <c r="G248" t="str">
        <f t="shared" si="39"/>
        <v>24.754665°- 46.632595°</v>
      </c>
      <c r="L248">
        <v>247</v>
      </c>
      <c r="M248" s="75" t="s">
        <v>309</v>
      </c>
      <c r="N248" s="76" t="s">
        <v>1019</v>
      </c>
      <c r="O248" s="77" t="s">
        <v>1020</v>
      </c>
      <c r="P248" s="78" t="s">
        <v>1666</v>
      </c>
      <c r="Q248" s="272" t="s">
        <v>1945</v>
      </c>
    </row>
    <row r="249" spans="1:17" ht="20.25">
      <c r="A249">
        <v>248</v>
      </c>
      <c r="B249" s="229" t="s">
        <v>69</v>
      </c>
      <c r="C249" s="6" t="s">
        <v>401</v>
      </c>
      <c r="E249" t="str">
        <f t="shared" si="37"/>
        <v>طريق الملك فهد  - الإمام سعود بن فيصل - شمال</v>
      </c>
      <c r="F249" t="str">
        <f t="shared" si="38"/>
        <v>VMS KING FAHD SAUD FAISAL NB</v>
      </c>
      <c r="G249" t="str">
        <f t="shared" si="39"/>
        <v>24.674992°, 46.673013°</v>
      </c>
      <c r="L249">
        <v>248</v>
      </c>
      <c r="M249" s="79" t="s">
        <v>309</v>
      </c>
      <c r="N249" s="80" t="s">
        <v>1021</v>
      </c>
      <c r="O249" s="81" t="s">
        <v>1022</v>
      </c>
      <c r="P249" s="82" t="s">
        <v>1666</v>
      </c>
      <c r="Q249" s="248" t="s">
        <v>1946</v>
      </c>
    </row>
    <row r="250" spans="1:17" ht="20.25">
      <c r="A250">
        <v>249</v>
      </c>
      <c r="B250" s="229" t="s">
        <v>69</v>
      </c>
      <c r="C250" s="6" t="s">
        <v>401</v>
      </c>
      <c r="E250" t="str">
        <f t="shared" si="37"/>
        <v>طريق الملك فهد  - الإمام سعود بن فيصل - شمال</v>
      </c>
      <c r="F250" t="str">
        <f t="shared" si="38"/>
        <v>VMS KING FAHD SAUD FAISAL NB</v>
      </c>
      <c r="G250" t="str">
        <f t="shared" si="39"/>
        <v>24.674992°, 46.673013°</v>
      </c>
      <c r="L250">
        <v>249</v>
      </c>
      <c r="M250" s="79" t="s">
        <v>309</v>
      </c>
      <c r="N250" s="80" t="s">
        <v>1023</v>
      </c>
      <c r="O250" s="81" t="s">
        <v>1024</v>
      </c>
      <c r="P250" s="82" t="s">
        <v>1666</v>
      </c>
      <c r="Q250" s="248" t="s">
        <v>1947</v>
      </c>
    </row>
    <row r="251" spans="1:17" ht="20.25">
      <c r="A251">
        <v>250</v>
      </c>
      <c r="B251" s="229" t="s">
        <v>69</v>
      </c>
      <c r="C251" s="6" t="s">
        <v>401</v>
      </c>
      <c r="E251" t="str">
        <f t="shared" si="37"/>
        <v>طريق الملك فهد  - الإمام سعود بن فيصل - شمال</v>
      </c>
      <c r="F251" t="str">
        <f t="shared" si="38"/>
        <v>VMS KING FAHD SAUD FAISAL NB</v>
      </c>
      <c r="G251" t="str">
        <f t="shared" si="39"/>
        <v>24.674992°, 46.673013°</v>
      </c>
      <c r="L251">
        <v>250</v>
      </c>
      <c r="M251" s="79" t="s">
        <v>309</v>
      </c>
      <c r="N251" s="80" t="s">
        <v>1025</v>
      </c>
      <c r="O251" s="81" t="s">
        <v>1026</v>
      </c>
      <c r="P251" s="82" t="s">
        <v>1666</v>
      </c>
      <c r="Q251" s="248" t="s">
        <v>1948</v>
      </c>
    </row>
    <row r="252" spans="1:17" ht="20.25">
      <c r="A252">
        <v>251</v>
      </c>
      <c r="B252" s="229" t="s">
        <v>69</v>
      </c>
      <c r="C252" s="6" t="s">
        <v>401</v>
      </c>
      <c r="E252" t="str">
        <f t="shared" si="37"/>
        <v>طريق الملك فهد  - الإمام سعود بن فيصل - شمال</v>
      </c>
      <c r="F252" t="str">
        <f t="shared" si="38"/>
        <v>VMS KING FAHD SAUD FAISAL NB</v>
      </c>
      <c r="G252" t="str">
        <f t="shared" si="39"/>
        <v>24.674992°, 46.673013°</v>
      </c>
      <c r="L252">
        <v>251</v>
      </c>
      <c r="M252" s="79" t="s">
        <v>309</v>
      </c>
      <c r="N252" s="80" t="s">
        <v>1027</v>
      </c>
      <c r="O252" s="81" t="s">
        <v>1028</v>
      </c>
      <c r="P252" s="82" t="s">
        <v>1666</v>
      </c>
      <c r="Q252" s="248" t="s">
        <v>1949</v>
      </c>
    </row>
    <row r="253" spans="1:17" ht="20.25">
      <c r="A253">
        <v>252</v>
      </c>
      <c r="B253" s="229" t="s">
        <v>69</v>
      </c>
      <c r="C253" s="6" t="s">
        <v>401</v>
      </c>
      <c r="E253" t="str">
        <f t="shared" si="37"/>
        <v>طريق الملك فهد  - الإمام سعود بن فيصل - شمال</v>
      </c>
      <c r="F253" t="str">
        <f t="shared" si="38"/>
        <v>VMS KING FAHD SAUD FAISAL NB</v>
      </c>
      <c r="G253" t="str">
        <f t="shared" si="39"/>
        <v>24.674992°, 46.673013°</v>
      </c>
      <c r="L253">
        <v>252</v>
      </c>
      <c r="M253" s="79" t="s">
        <v>309</v>
      </c>
      <c r="N253" s="80" t="s">
        <v>1029</v>
      </c>
      <c r="O253" s="81" t="s">
        <v>1030</v>
      </c>
      <c r="P253" s="82" t="s">
        <v>1666</v>
      </c>
      <c r="Q253" s="255" t="s">
        <v>1950</v>
      </c>
    </row>
    <row r="254" spans="1:17" ht="21" thickBot="1">
      <c r="A254">
        <v>253</v>
      </c>
      <c r="B254" s="230" t="s">
        <v>68</v>
      </c>
      <c r="C254" s="6" t="s">
        <v>148</v>
      </c>
      <c r="E254" t="str">
        <f t="shared" si="37"/>
        <v>تقاطع شارع البطحاء مع طريق الأمير محمد بن عبد الرحمن – ميدان طرابلس</v>
      </c>
      <c r="F254" t="str">
        <f t="shared" si="38"/>
        <v>U11-1sn2</v>
      </c>
      <c r="G254" t="str">
        <f t="shared" si="39"/>
        <v>24.610649, 46.728615</v>
      </c>
      <c r="L254">
        <v>253</v>
      </c>
      <c r="M254" s="83" t="s">
        <v>309</v>
      </c>
      <c r="N254" s="84" t="s">
        <v>1031</v>
      </c>
      <c r="O254" s="85" t="s">
        <v>1032</v>
      </c>
      <c r="P254" s="86" t="s">
        <v>1666</v>
      </c>
      <c r="Q254" s="256" t="s">
        <v>1951</v>
      </c>
    </row>
    <row r="255" spans="1:17" ht="20.25">
      <c r="A255">
        <v>254</v>
      </c>
      <c r="B255" s="228" t="s">
        <v>69</v>
      </c>
      <c r="C255" s="6" t="s">
        <v>401</v>
      </c>
      <c r="E255" t="str">
        <f t="shared" si="37"/>
        <v>طريق الملك فهد  - الإمام سعود بن فيصل - شمال</v>
      </c>
      <c r="F255" t="str">
        <f t="shared" si="38"/>
        <v>VMS KING FAHD SAUD FAISAL NB</v>
      </c>
      <c r="G255" t="str">
        <f t="shared" si="39"/>
        <v>24.674992°, 46.673013°</v>
      </c>
      <c r="L255">
        <v>254</v>
      </c>
      <c r="M255" s="75" t="s">
        <v>312</v>
      </c>
      <c r="N255" s="76" t="s">
        <v>1033</v>
      </c>
      <c r="O255" s="77" t="s">
        <v>1034</v>
      </c>
      <c r="P255" s="78" t="s">
        <v>11</v>
      </c>
      <c r="Q255" s="250" t="s">
        <v>1952</v>
      </c>
    </row>
    <row r="256" spans="1:17" ht="20.25">
      <c r="A256">
        <v>255</v>
      </c>
      <c r="B256" s="229" t="s">
        <v>69</v>
      </c>
      <c r="C256" s="6" t="s">
        <v>401</v>
      </c>
      <c r="E256" t="str">
        <f t="shared" si="37"/>
        <v>طريق الملك فهد  - الإمام سعود بن فيصل - شمال</v>
      </c>
      <c r="F256" t="str">
        <f t="shared" si="38"/>
        <v>VMS KING FAHD SAUD FAISAL NB</v>
      </c>
      <c r="G256" t="str">
        <f t="shared" si="39"/>
        <v>24.674992°, 46.673013°</v>
      </c>
      <c r="L256">
        <v>255</v>
      </c>
      <c r="M256" s="79" t="s">
        <v>312</v>
      </c>
      <c r="N256" s="80" t="s">
        <v>1035</v>
      </c>
      <c r="O256" s="81" t="s">
        <v>1036</v>
      </c>
      <c r="P256" s="82" t="s">
        <v>11</v>
      </c>
      <c r="Q256" s="255" t="s">
        <v>1953</v>
      </c>
    </row>
    <row r="257" spans="1:17" ht="20.25">
      <c r="A257">
        <v>256</v>
      </c>
      <c r="B257" s="225" t="s">
        <v>70</v>
      </c>
      <c r="C257" s="291" t="s">
        <v>44</v>
      </c>
      <c r="E257" t="str">
        <f>IFERROR(INDEX(M:M, MATCH(C257, P:P, 0)), "Not Found")</f>
        <v>نفق  تقاطع الطريق الدائري الثاني مع شارع السلامه (خشم العان 4)</v>
      </c>
      <c r="F257" t="str">
        <f>IFERROR(INDEX(N:N, MATCH(C257,P:P, 0)), "Not Found")</f>
        <v>khashm4_u149A_1</v>
      </c>
      <c r="G257" t="str">
        <f>IFERROR(INDEX(Q:Q, MATCH(C257, P:P, 0)), "Not Found")</f>
        <v>46.855436‬‏, 24.743596</v>
      </c>
      <c r="L257">
        <v>256</v>
      </c>
      <c r="M257" s="79" t="s">
        <v>312</v>
      </c>
      <c r="N257" s="80" t="s">
        <v>1037</v>
      </c>
      <c r="O257" s="81" t="s">
        <v>1038</v>
      </c>
      <c r="P257" s="82" t="s">
        <v>11</v>
      </c>
      <c r="Q257" s="248" t="s">
        <v>1954</v>
      </c>
    </row>
    <row r="258" spans="1:17" ht="20.25">
      <c r="A258">
        <v>257</v>
      </c>
      <c r="B258" s="230" t="s">
        <v>68</v>
      </c>
      <c r="C258" s="6" t="s">
        <v>155</v>
      </c>
      <c r="E258" t="str">
        <f>IFERROR(INDEX(M:M, MATCH(C258, O:O, 0)), "Not Found")</f>
        <v>جسر مشاة طريق الملك فهد أمام مركز بن رشيد الطبي</v>
      </c>
      <c r="F258" t="str">
        <f>IFERROR(INDEX(N:N, MATCH(C258, O:O, 0)), "Not Found")</f>
        <v>KF1_P18_1</v>
      </c>
      <c r="G258" t="str">
        <f>IFERROR(INDEX(Q:Q, MATCH(C258, O:O, 0)), "Not Found")</f>
        <v>24.683707, 46.685863</v>
      </c>
      <c r="L258">
        <v>257</v>
      </c>
      <c r="M258" s="79" t="s">
        <v>312</v>
      </c>
      <c r="N258" s="80" t="s">
        <v>1039</v>
      </c>
      <c r="O258" s="81" t="s">
        <v>1040</v>
      </c>
      <c r="P258" s="82" t="s">
        <v>11</v>
      </c>
      <c r="Q258" s="255" t="s">
        <v>1955</v>
      </c>
    </row>
    <row r="259" spans="1:17" ht="20.25">
      <c r="A259">
        <v>258</v>
      </c>
      <c r="B259" s="228" t="s">
        <v>69</v>
      </c>
      <c r="C259" s="6" t="s">
        <v>401</v>
      </c>
      <c r="E259" t="str">
        <f>IFERROR(INDEX(M:M, MATCH(C259, O:O, 0)), "Not Found")</f>
        <v>طريق الملك فهد  - الإمام سعود بن فيصل - شمال</v>
      </c>
      <c r="F259" t="str">
        <f>IFERROR(INDEX(N:N, MATCH(C259, O:O, 0)), "Not Found")</f>
        <v>VMS KING FAHD SAUD FAISAL NB</v>
      </c>
      <c r="G259" t="str">
        <f>IFERROR(INDEX(Q:Q, MATCH(C259, O:O, 0)), "Not Found")</f>
        <v>24.674992°, 46.673013°</v>
      </c>
      <c r="L259">
        <v>258</v>
      </c>
      <c r="M259" s="79" t="s">
        <v>312</v>
      </c>
      <c r="N259" s="80" t="s">
        <v>1041</v>
      </c>
      <c r="O259" s="81" t="s">
        <v>1042</v>
      </c>
      <c r="P259" s="82" t="s">
        <v>11</v>
      </c>
      <c r="Q259" s="248" t="s">
        <v>1956</v>
      </c>
    </row>
    <row r="260" spans="1:17" ht="20.25">
      <c r="A260">
        <v>259</v>
      </c>
      <c r="B260" s="229" t="s">
        <v>69</v>
      </c>
      <c r="C260" s="6" t="s">
        <v>401</v>
      </c>
      <c r="E260" t="str">
        <f>IFERROR(INDEX(M:M, MATCH(C260, O:O, 0)), "Not Found")</f>
        <v>طريق الملك فهد  - الإمام سعود بن فيصل - شمال</v>
      </c>
      <c r="F260" t="str">
        <f>IFERROR(INDEX(N:N, MATCH(C260, O:O, 0)), "Not Found")</f>
        <v>VMS KING FAHD SAUD FAISAL NB</v>
      </c>
      <c r="G260" t="str">
        <f>IFERROR(INDEX(Q:Q, MATCH(C260, O:O, 0)), "Not Found")</f>
        <v>24.674992°, 46.673013°</v>
      </c>
      <c r="L260">
        <v>259</v>
      </c>
      <c r="M260" s="79" t="s">
        <v>312</v>
      </c>
      <c r="N260" s="80" t="s">
        <v>1043</v>
      </c>
      <c r="O260" s="81" t="s">
        <v>1044</v>
      </c>
      <c r="P260" s="82" t="s">
        <v>11</v>
      </c>
      <c r="Q260" s="255" t="s">
        <v>1957</v>
      </c>
    </row>
    <row r="261" spans="1:17" ht="21" thickBot="1">
      <c r="A261">
        <v>260</v>
      </c>
      <c r="B261" s="229" t="s">
        <v>69</v>
      </c>
      <c r="C261" s="6" t="s">
        <v>471</v>
      </c>
      <c r="E261" t="str">
        <f>IFERROR(INDEX(M:M, MATCH(C261, O:O, 0)), "Not Found")</f>
        <v xml:space="preserve"> طريق مكة المكرمة مخرج أم الحمام -غرب</v>
      </c>
      <c r="F261" t="str">
        <f>IFERROR(INDEX(N:N, MATCH(C261, O:O, 0)), "Not Found")</f>
        <v>VMS UMALHAMMAM WB</v>
      </c>
      <c r="G261" t="str">
        <f>IFERROR(INDEX(Q:Q, MATCH(C261, O:O, 0)), "Not Found")</f>
        <v>24.675820, 46.662564</v>
      </c>
      <c r="L261">
        <v>260</v>
      </c>
      <c r="M261" s="83" t="s">
        <v>312</v>
      </c>
      <c r="N261" s="84" t="s">
        <v>1045</v>
      </c>
      <c r="O261" s="85" t="s">
        <v>1046</v>
      </c>
      <c r="P261" s="86" t="s">
        <v>11</v>
      </c>
      <c r="Q261" s="249" t="s">
        <v>1952</v>
      </c>
    </row>
    <row r="262" spans="1:17" ht="20.25">
      <c r="A262">
        <v>261</v>
      </c>
      <c r="B262" s="229" t="s">
        <v>69</v>
      </c>
      <c r="C262" s="6" t="s">
        <v>485</v>
      </c>
      <c r="E262" t="str">
        <f>IFERROR(INDEX(M:M, MATCH(C262, O:O, 0)), "Not Found")</f>
        <v>طريق خريص - نفق اكاديمية الأمير نايف - غرب</v>
      </c>
      <c r="F262" t="str">
        <f>IFERROR(INDEX(N:N, MATCH(C262, O:O, 0)), "Not Found")</f>
        <v>VMS NAYEF WB</v>
      </c>
      <c r="G262" t="str">
        <f>IFERROR(INDEX(Q:Q, MATCH(C262, O:O, 0)), "Not Found")</f>
        <v>24.803989, 46.854944</v>
      </c>
      <c r="L262">
        <v>261</v>
      </c>
      <c r="M262" s="75" t="s">
        <v>75</v>
      </c>
      <c r="N262" s="76" t="s">
        <v>1047</v>
      </c>
      <c r="O262" s="77" t="s">
        <v>1048</v>
      </c>
      <c r="P262" s="78" t="s">
        <v>25</v>
      </c>
      <c r="Q262" s="250" t="s">
        <v>1958</v>
      </c>
    </row>
    <row r="263" spans="1:17" ht="20.25">
      <c r="A263">
        <v>262</v>
      </c>
      <c r="B263" s="225" t="s">
        <v>70</v>
      </c>
      <c r="C263" s="291" t="s">
        <v>44</v>
      </c>
      <c r="E263" t="str">
        <f>IFERROR(INDEX(M:M, MATCH(C263, P:P, 0)), "Not Found")</f>
        <v>نفق  تقاطع الطريق الدائري الثاني مع شارع السلامه (خشم العان 4)</v>
      </c>
      <c r="F263" t="str">
        <f>IFERROR(INDEX(N:N, MATCH(C263,P:P, 0)), "Not Found")</f>
        <v>khashm4_u149A_1</v>
      </c>
      <c r="G263" t="str">
        <f>IFERROR(INDEX(Q:Q, MATCH(C263, P:P, 0)), "Not Found")</f>
        <v>46.855436‬‏, 24.743596</v>
      </c>
      <c r="L263">
        <v>262</v>
      </c>
      <c r="M263" s="79" t="s">
        <v>75</v>
      </c>
      <c r="N263" s="80" t="s">
        <v>1049</v>
      </c>
      <c r="O263" s="81" t="s">
        <v>149</v>
      </c>
      <c r="P263" s="82" t="s">
        <v>25</v>
      </c>
      <c r="Q263" s="255" t="s">
        <v>1959</v>
      </c>
    </row>
    <row r="264" spans="1:17" ht="20.25">
      <c r="A264">
        <v>263</v>
      </c>
      <c r="B264" s="229" t="s">
        <v>69</v>
      </c>
      <c r="C264" s="6" t="s">
        <v>464</v>
      </c>
      <c r="E264" t="str">
        <f t="shared" ref="E264:E287" si="40">IFERROR(INDEX(M:M, MATCH(C264, O:O, 0)), "Not Found")</f>
        <v>طريق خريص نفق أكاديمية التدريب - شرق</v>
      </c>
      <c r="F264" t="str">
        <f t="shared" ref="F264:F287" si="41">IFERROR(INDEX(N:N, MATCH(C264, O:O, 0)), "Not Found")</f>
        <v>VMS TADREEB EB</v>
      </c>
      <c r="G264" t="str">
        <f t="shared" ref="G264:G288" si="42">IFERROR(INDEX(Q:Q, MATCH(C264, O:O, 0)), "Not Found")</f>
        <v>24.735456, 46.795608</v>
      </c>
      <c r="L264">
        <v>263</v>
      </c>
      <c r="M264" s="79" t="s">
        <v>75</v>
      </c>
      <c r="N264" s="80" t="s">
        <v>1050</v>
      </c>
      <c r="O264" s="81" t="s">
        <v>1051</v>
      </c>
      <c r="P264" s="82" t="s">
        <v>25</v>
      </c>
      <c r="Q264" s="255" t="s">
        <v>1960</v>
      </c>
    </row>
    <row r="265" spans="1:17" ht="20.25">
      <c r="A265">
        <v>264</v>
      </c>
      <c r="B265" s="229" t="s">
        <v>69</v>
      </c>
      <c r="C265" s="6" t="s">
        <v>446</v>
      </c>
      <c r="E265" t="str">
        <f t="shared" si="40"/>
        <v>طريق الشيخ جابر الصباح - خريص - جنوب</v>
      </c>
      <c r="F265" t="str">
        <f t="shared" si="41"/>
        <v>VMS SHEIKH JABR SB</v>
      </c>
      <c r="G265" t="str">
        <f t="shared" si="42"/>
        <v xml:space="preserve"> 24.760372° -  46.835839°</v>
      </c>
      <c r="L265">
        <v>264</v>
      </c>
      <c r="M265" s="79" t="s">
        <v>75</v>
      </c>
      <c r="N265" s="80" t="s">
        <v>1052</v>
      </c>
      <c r="O265" s="81" t="s">
        <v>1053</v>
      </c>
      <c r="P265" s="82" t="s">
        <v>25</v>
      </c>
      <c r="Q265" s="255" t="s">
        <v>1961</v>
      </c>
    </row>
    <row r="266" spans="1:17" ht="20.25">
      <c r="A266">
        <v>265</v>
      </c>
      <c r="B266" s="229" t="s">
        <v>69</v>
      </c>
      <c r="C266" s="6" t="s">
        <v>446</v>
      </c>
      <c r="E266" t="str">
        <f t="shared" si="40"/>
        <v>طريق الشيخ جابر الصباح - خريص - جنوب</v>
      </c>
      <c r="F266" t="str">
        <f t="shared" si="41"/>
        <v>VMS SHEIKH JABR SB</v>
      </c>
      <c r="G266" t="str">
        <f t="shared" si="42"/>
        <v xml:space="preserve"> 24.760372° -  46.835839°</v>
      </c>
      <c r="L266">
        <v>265</v>
      </c>
      <c r="M266" s="79" t="s">
        <v>75</v>
      </c>
      <c r="N266" s="80" t="s">
        <v>1054</v>
      </c>
      <c r="O266" s="81" t="s">
        <v>1055</v>
      </c>
      <c r="P266" s="82" t="s">
        <v>25</v>
      </c>
      <c r="Q266" s="248" t="s">
        <v>1962</v>
      </c>
    </row>
    <row r="267" spans="1:17" ht="20.25">
      <c r="A267">
        <v>266</v>
      </c>
      <c r="B267" s="229" t="s">
        <v>69</v>
      </c>
      <c r="C267" s="6" t="s">
        <v>353</v>
      </c>
      <c r="E267" t="str">
        <f t="shared" si="40"/>
        <v>تقاطع طريق ديراب مع طريق المثنى بن حارثة</v>
      </c>
      <c r="F267" t="str">
        <f t="shared" si="41"/>
        <v>U14-NB</v>
      </c>
      <c r="G267" t="str">
        <f t="shared" si="42"/>
        <v>24.613861, 46.726861</v>
      </c>
      <c r="L267">
        <v>266</v>
      </c>
      <c r="M267" s="79" t="s">
        <v>75</v>
      </c>
      <c r="N267" s="80" t="s">
        <v>1056</v>
      </c>
      <c r="O267" s="81" t="s">
        <v>1057</v>
      </c>
      <c r="P267" s="82" t="s">
        <v>25</v>
      </c>
      <c r="Q267" s="248" t="s">
        <v>1963</v>
      </c>
    </row>
    <row r="268" spans="1:17" ht="20.25">
      <c r="A268">
        <v>267</v>
      </c>
      <c r="B268" s="229" t="s">
        <v>69</v>
      </c>
      <c r="C268" s="6" t="s">
        <v>401</v>
      </c>
      <c r="E268" t="str">
        <f t="shared" si="40"/>
        <v>طريق الملك فهد  - الإمام سعود بن فيصل - شمال</v>
      </c>
      <c r="F268" t="str">
        <f t="shared" si="41"/>
        <v>VMS KING FAHD SAUD FAISAL NB</v>
      </c>
      <c r="G268" t="str">
        <f t="shared" si="42"/>
        <v>24.674992°, 46.673013°</v>
      </c>
      <c r="L268">
        <v>267</v>
      </c>
      <c r="M268" s="79" t="s">
        <v>75</v>
      </c>
      <c r="N268" s="80" t="s">
        <v>1058</v>
      </c>
      <c r="O268" s="81" t="s">
        <v>1059</v>
      </c>
      <c r="P268" s="82" t="s">
        <v>25</v>
      </c>
      <c r="Q268" s="248" t="s">
        <v>1964</v>
      </c>
    </row>
    <row r="269" spans="1:17" ht="20.25">
      <c r="A269">
        <v>268</v>
      </c>
      <c r="B269" s="229" t="s">
        <v>69</v>
      </c>
      <c r="C269" s="6" t="s">
        <v>358</v>
      </c>
      <c r="E269" t="str">
        <f t="shared" si="40"/>
        <v>تقاطع طريق الأمير تركي بن عبد العزيز الأول مع طريق الإمام سعود بن عبدا لعزيز</v>
      </c>
      <c r="F269" t="str">
        <f t="shared" si="41"/>
        <v>U17-SB</v>
      </c>
      <c r="G269" t="str">
        <f t="shared" si="42"/>
        <v>24.75940, 46.690902</v>
      </c>
      <c r="L269">
        <v>268</v>
      </c>
      <c r="M269" s="79" t="s">
        <v>75</v>
      </c>
      <c r="N269" s="80" t="s">
        <v>1060</v>
      </c>
      <c r="O269" s="81" t="s">
        <v>1061</v>
      </c>
      <c r="P269" s="82" t="s">
        <v>25</v>
      </c>
      <c r="Q269" s="248" t="s">
        <v>1965</v>
      </c>
    </row>
    <row r="270" spans="1:17" ht="21" thickBot="1">
      <c r="A270">
        <v>269</v>
      </c>
      <c r="B270" s="229" t="s">
        <v>69</v>
      </c>
      <c r="C270" s="6" t="s">
        <v>358</v>
      </c>
      <c r="E270" t="str">
        <f t="shared" si="40"/>
        <v>تقاطع طريق الأمير تركي بن عبد العزيز الأول مع طريق الإمام سعود بن عبدا لعزيز</v>
      </c>
      <c r="F270" t="str">
        <f t="shared" si="41"/>
        <v>U17-SB</v>
      </c>
      <c r="G270" t="str">
        <f t="shared" si="42"/>
        <v>24.75940, 46.690902</v>
      </c>
      <c r="L270">
        <v>269</v>
      </c>
      <c r="M270" s="83" t="s">
        <v>75</v>
      </c>
      <c r="N270" s="84" t="s">
        <v>1062</v>
      </c>
      <c r="O270" s="85" t="s">
        <v>1063</v>
      </c>
      <c r="P270" s="86" t="s">
        <v>25</v>
      </c>
      <c r="Q270" s="249" t="s">
        <v>1966</v>
      </c>
    </row>
    <row r="271" spans="1:17" ht="20.25">
      <c r="A271">
        <v>270</v>
      </c>
      <c r="B271" s="229" t="s">
        <v>69</v>
      </c>
      <c r="C271" s="6" t="s">
        <v>425</v>
      </c>
      <c r="E271" t="str">
        <f t="shared" si="40"/>
        <v>طريق الخرج -المدخل الجنوبي</v>
      </c>
      <c r="F271" t="str">
        <f t="shared" si="41"/>
        <v>VMS KHARJ ROAD SB</v>
      </c>
      <c r="G271" t="str">
        <f t="shared" si="42"/>
        <v>24.684642, 46.702340</v>
      </c>
      <c r="L271">
        <v>270</v>
      </c>
      <c r="M271" s="75" t="s">
        <v>76</v>
      </c>
      <c r="N271" s="76" t="s">
        <v>1064</v>
      </c>
      <c r="O271" s="77" t="s">
        <v>159</v>
      </c>
      <c r="P271" s="78" t="s">
        <v>41</v>
      </c>
      <c r="Q271" s="250" t="s">
        <v>1967</v>
      </c>
    </row>
    <row r="272" spans="1:17" ht="20.25">
      <c r="A272">
        <v>271</v>
      </c>
      <c r="B272" s="229" t="s">
        <v>69</v>
      </c>
      <c r="C272" s="6" t="s">
        <v>425</v>
      </c>
      <c r="E272" t="str">
        <f t="shared" si="40"/>
        <v>طريق الخرج -المدخل الجنوبي</v>
      </c>
      <c r="F272" t="str">
        <f t="shared" si="41"/>
        <v>VMS KHARJ ROAD SB</v>
      </c>
      <c r="G272" t="str">
        <f t="shared" si="42"/>
        <v>24.684642, 46.702340</v>
      </c>
      <c r="L272">
        <v>271</v>
      </c>
      <c r="M272" s="79" t="s">
        <v>76</v>
      </c>
      <c r="N272" s="80" t="s">
        <v>1065</v>
      </c>
      <c r="O272" s="81" t="s">
        <v>1066</v>
      </c>
      <c r="P272" s="82" t="s">
        <v>41</v>
      </c>
      <c r="Q272" s="255" t="s">
        <v>1968</v>
      </c>
    </row>
    <row r="273" spans="1:17" ht="20.25">
      <c r="A273">
        <v>272</v>
      </c>
      <c r="B273" s="229" t="s">
        <v>69</v>
      </c>
      <c r="C273" s="6" t="s">
        <v>361</v>
      </c>
      <c r="E273" t="str">
        <f t="shared" si="40"/>
        <v>تقاطع طريق الامام سعود بن عبد العزيز مع الدائري الشرقي (شرق)</v>
      </c>
      <c r="F273" t="str">
        <f t="shared" si="41"/>
        <v>U18-WB</v>
      </c>
      <c r="G273" t="str">
        <f t="shared" si="42"/>
        <v>24.532056, 46.654667</v>
      </c>
      <c r="L273">
        <v>272</v>
      </c>
      <c r="M273" s="79" t="s">
        <v>76</v>
      </c>
      <c r="N273" s="80" t="s">
        <v>1067</v>
      </c>
      <c r="O273" s="81" t="s">
        <v>1068</v>
      </c>
      <c r="P273" s="82" t="s">
        <v>41</v>
      </c>
      <c r="Q273" s="255" t="s">
        <v>1969</v>
      </c>
    </row>
    <row r="274" spans="1:17" ht="20.25">
      <c r="A274">
        <v>273</v>
      </c>
      <c r="B274" s="230" t="s">
        <v>68</v>
      </c>
      <c r="C274" s="6" t="s">
        <v>171</v>
      </c>
      <c r="E274" t="str">
        <f t="shared" si="40"/>
        <v>نفق مخرج 15  تقاطع طريق الدائري الشرقي مع طريق صلاح الدين الأيوبي</v>
      </c>
      <c r="F274" t="str">
        <f t="shared" si="41"/>
        <v>EX15_TN_SN1</v>
      </c>
      <c r="G274" t="str">
        <f t="shared" si="42"/>
        <v>24.679366, 46.777790</v>
      </c>
      <c r="L274">
        <v>273</v>
      </c>
      <c r="M274" s="79" t="s">
        <v>76</v>
      </c>
      <c r="N274" s="80" t="s">
        <v>1069</v>
      </c>
      <c r="O274" s="81" t="s">
        <v>1070</v>
      </c>
      <c r="P274" s="82" t="s">
        <v>41</v>
      </c>
      <c r="Q274" s="255" t="s">
        <v>1970</v>
      </c>
    </row>
    <row r="275" spans="1:17" ht="20.25">
      <c r="A275">
        <v>274</v>
      </c>
      <c r="B275" s="231" t="s">
        <v>68</v>
      </c>
      <c r="C275" s="6" t="s">
        <v>107</v>
      </c>
      <c r="E275" t="str">
        <f t="shared" si="40"/>
        <v>نفق تقاطع طريق الدائري الشرقي مع طريق المدينة المنورة (مخرج17)</v>
      </c>
      <c r="F275" t="str">
        <f t="shared" si="41"/>
        <v>EX17_TN_SN1</v>
      </c>
      <c r="G275" t="str">
        <f t="shared" si="42"/>
        <v>24.653228, 46.792334</v>
      </c>
      <c r="L275">
        <v>274</v>
      </c>
      <c r="M275" s="79" t="s">
        <v>76</v>
      </c>
      <c r="N275" s="80" t="s">
        <v>1071</v>
      </c>
      <c r="O275" s="81" t="s">
        <v>1072</v>
      </c>
      <c r="P275" s="82" t="s">
        <v>41</v>
      </c>
      <c r="Q275" s="255" t="s">
        <v>1971</v>
      </c>
    </row>
    <row r="276" spans="1:17" ht="20.25">
      <c r="A276">
        <v>275</v>
      </c>
      <c r="B276" s="231" t="s">
        <v>68</v>
      </c>
      <c r="C276" s="6" t="s">
        <v>119</v>
      </c>
      <c r="E276" t="str">
        <f t="shared" si="40"/>
        <v>شاشة طريق الملك عبدالعزيز - الملك سلمان - شرق</v>
      </c>
      <c r="F276" t="str">
        <f t="shared" si="41"/>
        <v>KABDAZIZ-VMS-E</v>
      </c>
      <c r="G276" t="str">
        <f t="shared" si="42"/>
        <v>24.823742, 46.607646</v>
      </c>
      <c r="L276">
        <v>275</v>
      </c>
      <c r="M276" s="79" t="s">
        <v>76</v>
      </c>
      <c r="N276" s="80" t="s">
        <v>1073</v>
      </c>
      <c r="O276" s="81" t="s">
        <v>1074</v>
      </c>
      <c r="P276" s="82" t="s">
        <v>41</v>
      </c>
      <c r="Q276" s="255" t="s">
        <v>1972</v>
      </c>
    </row>
    <row r="277" spans="1:17" ht="20.25">
      <c r="A277">
        <v>276</v>
      </c>
      <c r="B277" s="231" t="s">
        <v>68</v>
      </c>
      <c r="C277" s="6" t="s">
        <v>114</v>
      </c>
      <c r="E277" t="str">
        <f t="shared" si="40"/>
        <v>مخرج 5 الى 6 - الدائري الشمالي - شرق - جانتري (2)</v>
      </c>
      <c r="F277" t="str">
        <f t="shared" si="41"/>
        <v>EX5TO6-E-2</v>
      </c>
      <c r="G277" t="str">
        <f t="shared" si="42"/>
        <v>24.775587, 46.682076</v>
      </c>
      <c r="L277">
        <v>276</v>
      </c>
      <c r="M277" s="79" t="s">
        <v>76</v>
      </c>
      <c r="N277" s="80" t="s">
        <v>1075</v>
      </c>
      <c r="O277" s="81" t="s">
        <v>1076</v>
      </c>
      <c r="P277" s="82" t="s">
        <v>41</v>
      </c>
      <c r="Q277" s="255" t="s">
        <v>1973</v>
      </c>
    </row>
    <row r="278" spans="1:17" ht="20.25">
      <c r="A278">
        <v>277</v>
      </c>
      <c r="B278" s="228" t="s">
        <v>69</v>
      </c>
      <c r="C278" s="6" t="s">
        <v>425</v>
      </c>
      <c r="E278" t="str">
        <f t="shared" si="40"/>
        <v>طريق الخرج -المدخل الجنوبي</v>
      </c>
      <c r="F278" t="str">
        <f t="shared" si="41"/>
        <v>VMS KHARJ ROAD SB</v>
      </c>
      <c r="G278" t="str">
        <f t="shared" si="42"/>
        <v>24.684642, 46.702340</v>
      </c>
      <c r="L278">
        <v>277</v>
      </c>
      <c r="M278" s="79" t="s">
        <v>76</v>
      </c>
      <c r="N278" s="80" t="s">
        <v>1077</v>
      </c>
      <c r="O278" s="81" t="s">
        <v>1078</v>
      </c>
      <c r="P278" s="82" t="s">
        <v>41</v>
      </c>
      <c r="Q278" s="255" t="s">
        <v>1974</v>
      </c>
    </row>
    <row r="279" spans="1:17" ht="21" thickBot="1">
      <c r="A279">
        <v>278</v>
      </c>
      <c r="B279" s="229" t="s">
        <v>69</v>
      </c>
      <c r="C279" s="6" t="s">
        <v>425</v>
      </c>
      <c r="E279" t="str">
        <f t="shared" si="40"/>
        <v>طريق الخرج -المدخل الجنوبي</v>
      </c>
      <c r="F279" t="str">
        <f t="shared" si="41"/>
        <v>VMS KHARJ ROAD SB</v>
      </c>
      <c r="G279" t="str">
        <f t="shared" si="42"/>
        <v>24.684642, 46.702340</v>
      </c>
      <c r="L279">
        <v>278</v>
      </c>
      <c r="M279" s="83" t="s">
        <v>76</v>
      </c>
      <c r="N279" s="84" t="s">
        <v>1079</v>
      </c>
      <c r="O279" s="85" t="s">
        <v>1080</v>
      </c>
      <c r="P279" s="86" t="s">
        <v>41</v>
      </c>
      <c r="Q279" s="256" t="s">
        <v>1975</v>
      </c>
    </row>
    <row r="280" spans="1:17" ht="20.25">
      <c r="A280">
        <v>279</v>
      </c>
      <c r="B280" s="229" t="s">
        <v>69</v>
      </c>
      <c r="C280" s="6" t="s">
        <v>425</v>
      </c>
      <c r="E280" t="str">
        <f t="shared" si="40"/>
        <v>طريق الخرج -المدخل الجنوبي</v>
      </c>
      <c r="F280" t="str">
        <f t="shared" si="41"/>
        <v>VMS KHARJ ROAD SB</v>
      </c>
      <c r="G280" t="str">
        <f t="shared" si="42"/>
        <v>24.684642, 46.702340</v>
      </c>
      <c r="L280">
        <v>279</v>
      </c>
      <c r="M280" s="75" t="s">
        <v>1081</v>
      </c>
      <c r="N280" s="76" t="s">
        <v>1082</v>
      </c>
      <c r="O280" s="77" t="s">
        <v>150</v>
      </c>
      <c r="P280" s="78" t="s">
        <v>1667</v>
      </c>
      <c r="Q280" s="250" t="s">
        <v>1976</v>
      </c>
    </row>
    <row r="281" spans="1:17" ht="20.25">
      <c r="A281">
        <v>280</v>
      </c>
      <c r="B281" s="229" t="s">
        <v>69</v>
      </c>
      <c r="C281" s="6" t="s">
        <v>381</v>
      </c>
      <c r="E281" t="str">
        <f t="shared" si="40"/>
        <v>طريق الملك فهد - الثمامة الفرعي - جنوب</v>
      </c>
      <c r="F281" t="str">
        <f t="shared" si="41"/>
        <v>VMS KING FAHD THUMAMA SB</v>
      </c>
      <c r="G281" t="str">
        <f t="shared" si="42"/>
        <v xml:space="preserve"> 24.832736° -  46.628369°</v>
      </c>
      <c r="L281">
        <v>280</v>
      </c>
      <c r="M281" s="79" t="s">
        <v>1081</v>
      </c>
      <c r="N281" s="80" t="s">
        <v>1083</v>
      </c>
      <c r="O281" s="81" t="s">
        <v>1084</v>
      </c>
      <c r="P281" s="82" t="s">
        <v>1667</v>
      </c>
      <c r="Q281" s="248" t="s">
        <v>1977</v>
      </c>
    </row>
    <row r="282" spans="1:17" ht="20.25">
      <c r="A282">
        <v>281</v>
      </c>
      <c r="B282" s="229" t="s">
        <v>69</v>
      </c>
      <c r="C282" s="6" t="s">
        <v>381</v>
      </c>
      <c r="E282" t="str">
        <f t="shared" si="40"/>
        <v>طريق الملك فهد - الثمامة الفرعي - جنوب</v>
      </c>
      <c r="F282" t="str">
        <f t="shared" si="41"/>
        <v>VMS KING FAHD THUMAMA SB</v>
      </c>
      <c r="G282" t="str">
        <f t="shared" si="42"/>
        <v xml:space="preserve"> 24.832736° -  46.628369°</v>
      </c>
      <c r="L282">
        <v>281</v>
      </c>
      <c r="M282" s="79" t="s">
        <v>1081</v>
      </c>
      <c r="N282" s="80" t="s">
        <v>1085</v>
      </c>
      <c r="O282" s="81" t="s">
        <v>1086</v>
      </c>
      <c r="P282" s="82" t="s">
        <v>1667</v>
      </c>
      <c r="Q282" s="255" t="s">
        <v>1978</v>
      </c>
    </row>
    <row r="283" spans="1:17" ht="20.25">
      <c r="A283">
        <v>282</v>
      </c>
      <c r="B283" s="230" t="s">
        <v>68</v>
      </c>
      <c r="C283" s="6" t="s">
        <v>171</v>
      </c>
      <c r="E283" t="str">
        <f t="shared" si="40"/>
        <v>نفق مخرج 15  تقاطع طريق الدائري الشرقي مع طريق صلاح الدين الأيوبي</v>
      </c>
      <c r="F283" t="str">
        <f t="shared" si="41"/>
        <v>EX15_TN_SN1</v>
      </c>
      <c r="G283" t="str">
        <f t="shared" si="42"/>
        <v>24.679366, 46.777790</v>
      </c>
      <c r="L283">
        <v>282</v>
      </c>
      <c r="M283" s="79" t="s">
        <v>1081</v>
      </c>
      <c r="N283" s="80" t="s">
        <v>1087</v>
      </c>
      <c r="O283" s="81" t="s">
        <v>1088</v>
      </c>
      <c r="P283" s="82" t="s">
        <v>1667</v>
      </c>
      <c r="Q283" s="255" t="s">
        <v>1979</v>
      </c>
    </row>
    <row r="284" spans="1:17" ht="20.25">
      <c r="A284">
        <v>283</v>
      </c>
      <c r="B284" s="228" t="s">
        <v>69</v>
      </c>
      <c r="C284" s="6" t="s">
        <v>324</v>
      </c>
      <c r="E284" t="str">
        <f t="shared" si="40"/>
        <v>تقاطع شارع العليا مع شارع المعذرـــ وزارة الداخلية</v>
      </c>
      <c r="F284" t="str">
        <f t="shared" si="41"/>
        <v>U2-NB</v>
      </c>
      <c r="G284" t="str">
        <f t="shared" si="42"/>
        <v>24.651834, 46.689231</v>
      </c>
      <c r="L284">
        <v>283</v>
      </c>
      <c r="M284" s="79" t="s">
        <v>1081</v>
      </c>
      <c r="N284" s="80" t="s">
        <v>1089</v>
      </c>
      <c r="O284" s="81" t="s">
        <v>1090</v>
      </c>
      <c r="P284" s="82" t="s">
        <v>1667</v>
      </c>
      <c r="Q284" s="248" t="s">
        <v>1980</v>
      </c>
    </row>
    <row r="285" spans="1:17" ht="20.25">
      <c r="A285">
        <v>284</v>
      </c>
      <c r="B285" s="229" t="s">
        <v>69</v>
      </c>
      <c r="C285" s="6" t="s">
        <v>369</v>
      </c>
      <c r="E285" t="str">
        <f t="shared" si="40"/>
        <v>طريق الملك سلمان - الملك عبدالعزيز - شرق</v>
      </c>
      <c r="F285" t="str">
        <f t="shared" si="41"/>
        <v>VMS KING SALMAN ABDEL AZIZ EB</v>
      </c>
      <c r="G285" t="str">
        <f t="shared" si="42"/>
        <v>24.766948, 46.708904</v>
      </c>
      <c r="L285">
        <v>284</v>
      </c>
      <c r="M285" s="79" t="s">
        <v>1081</v>
      </c>
      <c r="N285" s="80" t="s">
        <v>1091</v>
      </c>
      <c r="O285" s="81" t="s">
        <v>1092</v>
      </c>
      <c r="P285" s="82" t="s">
        <v>1667</v>
      </c>
      <c r="Q285" s="248" t="s">
        <v>1981</v>
      </c>
    </row>
    <row r="286" spans="1:17" ht="21" thickBot="1">
      <c r="A286">
        <v>285</v>
      </c>
      <c r="B286" s="230" t="s">
        <v>68</v>
      </c>
      <c r="C286" s="6" t="s">
        <v>171</v>
      </c>
      <c r="E286" t="str">
        <f t="shared" si="40"/>
        <v>نفق مخرج 15  تقاطع طريق الدائري الشرقي مع طريق صلاح الدين الأيوبي</v>
      </c>
      <c r="F286" t="str">
        <f t="shared" si="41"/>
        <v>EX15_TN_SN1</v>
      </c>
      <c r="G286" t="str">
        <f t="shared" si="42"/>
        <v>24.679366, 46.777790</v>
      </c>
      <c r="L286">
        <v>285</v>
      </c>
      <c r="M286" s="83" t="s">
        <v>1081</v>
      </c>
      <c r="N286" s="84" t="s">
        <v>1093</v>
      </c>
      <c r="O286" s="85" t="s">
        <v>1094</v>
      </c>
      <c r="P286" s="86" t="s">
        <v>1667</v>
      </c>
      <c r="Q286" s="256" t="s">
        <v>1982</v>
      </c>
    </row>
    <row r="287" spans="1:17" ht="20.25">
      <c r="A287">
        <v>286</v>
      </c>
      <c r="B287" s="231" t="s">
        <v>68</v>
      </c>
      <c r="C287" s="6" t="s">
        <v>125</v>
      </c>
      <c r="E287" t="str">
        <f t="shared" si="40"/>
        <v>نفق طريق الامام سعود بن عبدالعزيز تقاطع طريق الملك فهد (دلة)</v>
      </c>
      <c r="F287" t="str">
        <f t="shared" si="41"/>
        <v>U101_DALLA_TN3</v>
      </c>
      <c r="G287" t="str">
        <f t="shared" si="42"/>
        <v>24.7444901, 46.6556093</v>
      </c>
      <c r="L287">
        <v>286</v>
      </c>
      <c r="M287" s="75" t="s">
        <v>1095</v>
      </c>
      <c r="N287" s="76" t="s">
        <v>1096</v>
      </c>
      <c r="O287" s="77" t="s">
        <v>164</v>
      </c>
      <c r="P287" s="78" t="s">
        <v>1668</v>
      </c>
      <c r="Q287" s="247" t="s">
        <v>1983</v>
      </c>
    </row>
    <row r="288" spans="1:17" ht="20.25">
      <c r="A288">
        <v>287</v>
      </c>
      <c r="B288" s="226" t="s">
        <v>70</v>
      </c>
      <c r="C288" s="224" t="s">
        <v>20</v>
      </c>
      <c r="E288" t="str">
        <f>IFERROR(INDEX(M:M, MATCH(C288, P:P, 0)), "Not Found")</f>
        <v>Not Found</v>
      </c>
      <c r="F288" t="str">
        <f>IFERROR(INDEX(N:N, MATCH(C288, P:P, 0)), "Not Found")</f>
        <v>Not Found</v>
      </c>
      <c r="G288" t="str">
        <f t="shared" si="42"/>
        <v>Not Found</v>
      </c>
      <c r="L288">
        <v>287</v>
      </c>
      <c r="M288" s="79" t="s">
        <v>1095</v>
      </c>
      <c r="N288" s="80" t="s">
        <v>1097</v>
      </c>
      <c r="O288" s="81" t="s">
        <v>1098</v>
      </c>
      <c r="P288" s="82" t="s">
        <v>1668</v>
      </c>
      <c r="Q288" s="255" t="s">
        <v>1984</v>
      </c>
    </row>
    <row r="289" spans="1:17" ht="20.25">
      <c r="A289">
        <v>288</v>
      </c>
      <c r="B289" s="225" t="s">
        <v>70</v>
      </c>
      <c r="C289" s="291" t="s">
        <v>4</v>
      </c>
      <c r="E289" t="str">
        <f>IFERROR(INDEX(M:M, MATCH(C289, P:P, 0)), "Not Found")</f>
        <v>نفق طريق مكة المكرمة تقاطع طريق التخصصي (العزيزية - بنده)</v>
      </c>
      <c r="F289" t="str">
        <f>IFERROR(INDEX(N:N, MATCH(C289,P:P, 0)), "Not Found")</f>
        <v>MAK_TAKHS_TN_EW2</v>
      </c>
      <c r="G289" t="str">
        <f>IFERROR(INDEX(Q:Q, MATCH(C289, P:P, 0)), "Not Found")</f>
        <v>24.675513, 46.677770</v>
      </c>
      <c r="L289">
        <v>288</v>
      </c>
      <c r="M289" s="79" t="s">
        <v>1095</v>
      </c>
      <c r="N289" s="80" t="s">
        <v>1099</v>
      </c>
      <c r="O289" s="81" t="s">
        <v>1100</v>
      </c>
      <c r="P289" s="82" t="s">
        <v>1668</v>
      </c>
      <c r="Q289" s="255" t="s">
        <v>1985</v>
      </c>
    </row>
    <row r="290" spans="1:17" ht="20.25">
      <c r="A290">
        <v>289</v>
      </c>
      <c r="B290" s="229" t="s">
        <v>69</v>
      </c>
      <c r="C290" s="6" t="s">
        <v>369</v>
      </c>
      <c r="E290" t="str">
        <f t="shared" ref="E290:E297" si="43">IFERROR(INDEX(M:M, MATCH(C290, O:O, 0)), "Not Found")</f>
        <v>طريق الملك سلمان - الملك عبدالعزيز - شرق</v>
      </c>
      <c r="F290" t="str">
        <f t="shared" ref="F290:F297" si="44">IFERROR(INDEX(N:N, MATCH(C290, O:O, 0)), "Not Found")</f>
        <v>VMS KING SALMAN ABDEL AZIZ EB</v>
      </c>
      <c r="G290" t="str">
        <f t="shared" ref="G290:G297" si="45">IFERROR(INDEX(Q:Q, MATCH(C290, O:O, 0)), "Not Found")</f>
        <v>24.766948, 46.708904</v>
      </c>
      <c r="L290">
        <v>289</v>
      </c>
      <c r="M290" s="79" t="s">
        <v>1095</v>
      </c>
      <c r="N290" s="80" t="s">
        <v>1101</v>
      </c>
      <c r="O290" s="81" t="s">
        <v>1102</v>
      </c>
      <c r="P290" s="82" t="s">
        <v>1668</v>
      </c>
      <c r="Q290" s="255" t="s">
        <v>1986</v>
      </c>
    </row>
    <row r="291" spans="1:17" ht="20.25">
      <c r="A291">
        <v>290</v>
      </c>
      <c r="B291" s="229" t="s">
        <v>69</v>
      </c>
      <c r="C291" s="6" t="s">
        <v>466</v>
      </c>
      <c r="E291" t="str">
        <f t="shared" si="43"/>
        <v>طريق الملك سلمان - الملك فهد - شرق</v>
      </c>
      <c r="F291" t="str">
        <f t="shared" si="44"/>
        <v>VMS KING SALMAN KING FAHD EB</v>
      </c>
      <c r="G291" t="str">
        <f t="shared" si="45"/>
        <v>24.772567, 46.847539</v>
      </c>
      <c r="L291">
        <v>290</v>
      </c>
      <c r="M291" s="79" t="s">
        <v>1095</v>
      </c>
      <c r="N291" s="80" t="s">
        <v>1103</v>
      </c>
      <c r="O291" s="81" t="s">
        <v>1104</v>
      </c>
      <c r="P291" s="82" t="s">
        <v>1668</v>
      </c>
      <c r="Q291" s="255" t="s">
        <v>1987</v>
      </c>
    </row>
    <row r="292" spans="1:17" ht="20.25">
      <c r="A292">
        <v>291</v>
      </c>
      <c r="B292" s="229" t="s">
        <v>69</v>
      </c>
      <c r="C292" s="6" t="s">
        <v>466</v>
      </c>
      <c r="E292" t="str">
        <f t="shared" si="43"/>
        <v>طريق الملك سلمان - الملك فهد - شرق</v>
      </c>
      <c r="F292" t="str">
        <f t="shared" si="44"/>
        <v>VMS KING SALMAN KING FAHD EB</v>
      </c>
      <c r="G292" t="str">
        <f t="shared" si="45"/>
        <v>24.772567, 46.847539</v>
      </c>
      <c r="L292">
        <v>291</v>
      </c>
      <c r="M292" s="79" t="s">
        <v>1095</v>
      </c>
      <c r="N292" s="80" t="s">
        <v>1105</v>
      </c>
      <c r="O292" s="81" t="s">
        <v>1106</v>
      </c>
      <c r="P292" s="82" t="s">
        <v>1668</v>
      </c>
      <c r="Q292" s="255" t="s">
        <v>1988</v>
      </c>
    </row>
    <row r="293" spans="1:17" ht="20.25">
      <c r="A293">
        <v>292</v>
      </c>
      <c r="B293" s="229" t="s">
        <v>69</v>
      </c>
      <c r="C293" s="6" t="s">
        <v>374</v>
      </c>
      <c r="E293" t="str">
        <f t="shared" si="43"/>
        <v>طريق الملك سلمان - أبو بكر الصديق - شرق</v>
      </c>
      <c r="F293" t="str">
        <f t="shared" si="44"/>
        <v>VMS KING SALMAN ABO BAKR EB</v>
      </c>
      <c r="G293" t="str">
        <f t="shared" si="45"/>
        <v>24.781782, 46.744057</v>
      </c>
      <c r="L293">
        <v>292</v>
      </c>
      <c r="M293" s="79" t="s">
        <v>1095</v>
      </c>
      <c r="N293" s="80" t="s">
        <v>1107</v>
      </c>
      <c r="O293" s="81" t="s">
        <v>1108</v>
      </c>
      <c r="P293" s="82" t="s">
        <v>1668</v>
      </c>
      <c r="Q293" s="255" t="s">
        <v>1989</v>
      </c>
    </row>
    <row r="294" spans="1:17" ht="20.25">
      <c r="A294">
        <v>293</v>
      </c>
      <c r="B294" s="229" t="s">
        <v>69</v>
      </c>
      <c r="C294" s="6" t="s">
        <v>374</v>
      </c>
      <c r="E294" t="str">
        <f t="shared" si="43"/>
        <v>طريق الملك سلمان - أبو بكر الصديق - شرق</v>
      </c>
      <c r="F294" t="str">
        <f t="shared" si="44"/>
        <v>VMS KING SALMAN ABO BAKR EB</v>
      </c>
      <c r="G294" t="str">
        <f t="shared" si="45"/>
        <v>24.781782, 46.744057</v>
      </c>
      <c r="L294">
        <v>293</v>
      </c>
      <c r="M294" s="79" t="s">
        <v>1095</v>
      </c>
      <c r="N294" s="80" t="s">
        <v>1109</v>
      </c>
      <c r="O294" s="81" t="s">
        <v>1110</v>
      </c>
      <c r="P294" s="82" t="s">
        <v>1668</v>
      </c>
      <c r="Q294" s="255" t="s">
        <v>1990</v>
      </c>
    </row>
    <row r="295" spans="1:17" ht="20.25">
      <c r="A295">
        <v>294</v>
      </c>
      <c r="B295" s="229" t="s">
        <v>69</v>
      </c>
      <c r="C295" s="6" t="s">
        <v>374</v>
      </c>
      <c r="E295" t="str">
        <f t="shared" si="43"/>
        <v>طريق الملك سلمان - أبو بكر الصديق - شرق</v>
      </c>
      <c r="F295" t="str">
        <f t="shared" si="44"/>
        <v>VMS KING SALMAN ABO BAKR EB</v>
      </c>
      <c r="G295" t="str">
        <f t="shared" si="45"/>
        <v>24.781782, 46.744057</v>
      </c>
      <c r="L295">
        <v>294</v>
      </c>
      <c r="M295" s="79" t="s">
        <v>1095</v>
      </c>
      <c r="N295" s="80" t="s">
        <v>1111</v>
      </c>
      <c r="O295" s="81" t="s">
        <v>1112</v>
      </c>
      <c r="P295" s="82" t="s">
        <v>1668</v>
      </c>
      <c r="Q295" s="255" t="s">
        <v>1991</v>
      </c>
    </row>
    <row r="296" spans="1:17" ht="20.25">
      <c r="A296">
        <v>295</v>
      </c>
      <c r="B296" s="229" t="s">
        <v>69</v>
      </c>
      <c r="C296" s="6" t="s">
        <v>367</v>
      </c>
      <c r="E296" t="str">
        <f t="shared" si="43"/>
        <v>طريق الملك سلمان - الملك عبدالعزيز - غرب</v>
      </c>
      <c r="F296" t="str">
        <f t="shared" si="44"/>
        <v>VMS KING SALMAN ABDEL AZIZ WB</v>
      </c>
      <c r="G296" t="str">
        <f t="shared" si="45"/>
        <v>24.780597, 46.740810</v>
      </c>
      <c r="L296">
        <v>295</v>
      </c>
      <c r="M296" s="79" t="s">
        <v>1095</v>
      </c>
      <c r="N296" s="80" t="s">
        <v>1113</v>
      </c>
      <c r="O296" s="81" t="s">
        <v>1114</v>
      </c>
      <c r="P296" s="82" t="s">
        <v>1668</v>
      </c>
      <c r="Q296" s="255" t="s">
        <v>1992</v>
      </c>
    </row>
    <row r="297" spans="1:17" ht="21" thickBot="1">
      <c r="A297">
        <v>296</v>
      </c>
      <c r="B297" s="229" t="s">
        <v>69</v>
      </c>
      <c r="C297" s="6" t="s">
        <v>376</v>
      </c>
      <c r="E297" t="str">
        <f t="shared" si="43"/>
        <v>طريق الملك سلمان - عثمان بن عفان - غرب</v>
      </c>
      <c r="F297" t="str">
        <f t="shared" si="44"/>
        <v>VMS KING SALMAN OTHMAN WB</v>
      </c>
      <c r="G297" t="str">
        <f t="shared" si="45"/>
        <v>24.823245, 46.698389</v>
      </c>
      <c r="L297">
        <v>296</v>
      </c>
      <c r="M297" s="83" t="s">
        <v>1095</v>
      </c>
      <c r="N297" s="84" t="s">
        <v>1115</v>
      </c>
      <c r="O297" s="85" t="s">
        <v>1116</v>
      </c>
      <c r="P297" s="86" t="s">
        <v>1668</v>
      </c>
      <c r="Q297" s="256" t="s">
        <v>1993</v>
      </c>
    </row>
    <row r="298" spans="1:17" ht="20.25">
      <c r="A298">
        <v>297</v>
      </c>
      <c r="B298" s="225" t="s">
        <v>70</v>
      </c>
      <c r="C298" s="6" t="s">
        <v>41</v>
      </c>
      <c r="E298" t="str">
        <f>IFERROR(INDEX(M:M, MATCH(C298, P:P, 0)), "Not Found")</f>
        <v>تقاطع طريق سعد بن عبد الرحمن الأول مع طريق الامام الشافعي</v>
      </c>
      <c r="F298" t="str">
        <f>IFERROR(INDEX(N:N, MATCH(C298, P:P, 0)), "Not Found")</f>
        <v>U21-EW-1</v>
      </c>
      <c r="G298" t="str">
        <f>IFERROR(INDEX(Q:Q, MATCH(C298, P:P, 0)), "Not Found")</f>
        <v>24.693215, 46.809979</v>
      </c>
      <c r="L298">
        <v>297</v>
      </c>
      <c r="M298" s="75" t="s">
        <v>77</v>
      </c>
      <c r="N298" s="76" t="s">
        <v>1117</v>
      </c>
      <c r="O298" s="77" t="s">
        <v>1118</v>
      </c>
      <c r="P298" s="78" t="s">
        <v>38</v>
      </c>
      <c r="Q298" s="250" t="s">
        <v>1994</v>
      </c>
    </row>
    <row r="299" spans="1:17" ht="20.25">
      <c r="A299">
        <v>298</v>
      </c>
      <c r="B299" s="225" t="s">
        <v>70</v>
      </c>
      <c r="C299" s="6" t="s">
        <v>44</v>
      </c>
      <c r="E299" t="str">
        <f>IFERROR(INDEX(M:M, MATCH(C299, P:P, 0)), "Not Found")</f>
        <v>نفق  تقاطع الطريق الدائري الثاني مع شارع السلامه (خشم العان 4)</v>
      </c>
      <c r="F299" t="str">
        <f>IFERROR(INDEX(N:N, MATCH(C299, P:P, 0)), "Not Found")</f>
        <v>khashm4_u149A_1</v>
      </c>
      <c r="G299" t="str">
        <f>IFERROR(INDEX(Q:Q, MATCH(C299, P:P, 0)), "Not Found")</f>
        <v>46.855436‬‏, 24.743596</v>
      </c>
      <c r="L299">
        <v>298</v>
      </c>
      <c r="M299" s="79" t="s">
        <v>77</v>
      </c>
      <c r="N299" s="80" t="s">
        <v>1119</v>
      </c>
      <c r="O299" s="81" t="s">
        <v>1120</v>
      </c>
      <c r="P299" s="82" t="s">
        <v>38</v>
      </c>
      <c r="Q299" s="270" t="s">
        <v>1995</v>
      </c>
    </row>
    <row r="300" spans="1:17" ht="20.25">
      <c r="A300">
        <v>299</v>
      </c>
      <c r="B300" s="225" t="s">
        <v>70</v>
      </c>
      <c r="C300" s="291" t="s">
        <v>4</v>
      </c>
      <c r="E300" t="str">
        <f>IFERROR(INDEX(M:M, MATCH(C300, P:P, 0)), "Not Found")</f>
        <v>نفق طريق مكة المكرمة تقاطع طريق التخصصي (العزيزية - بنده)</v>
      </c>
      <c r="F300" t="str">
        <f>IFERROR(INDEX(N:N, MATCH(C300,P:P, 0)), "Not Found")</f>
        <v>MAK_TAKHS_TN_EW2</v>
      </c>
      <c r="G300" t="str">
        <f>IFERROR(INDEX(Q:Q, MATCH(C300, P:P, 0)), "Not Found")</f>
        <v>24.675513, 46.677770</v>
      </c>
      <c r="L300">
        <v>299</v>
      </c>
      <c r="M300" s="79" t="s">
        <v>77</v>
      </c>
      <c r="N300" s="80" t="s">
        <v>1121</v>
      </c>
      <c r="O300" s="81" t="s">
        <v>1122</v>
      </c>
      <c r="P300" s="82" t="s">
        <v>38</v>
      </c>
      <c r="Q300" s="248" t="s">
        <v>1996</v>
      </c>
    </row>
    <row r="301" spans="1:17" ht="20.25">
      <c r="A301">
        <v>300</v>
      </c>
      <c r="B301" s="229" t="s">
        <v>69</v>
      </c>
      <c r="C301" s="6" t="s">
        <v>372</v>
      </c>
      <c r="E301" t="str">
        <f>IFERROR(INDEX(M:M, MATCH(C301, O:O, 0)), "Not Found")</f>
        <v>طريق الملك سلمان - الملك فهد -غرب</v>
      </c>
      <c r="F301" t="str">
        <f>IFERROR(INDEX(N:N, MATCH(C301, O:O, 0)), "Not Found")</f>
        <v>VMS KING SALMAN KING FAHD WB</v>
      </c>
      <c r="G301" t="str">
        <f>IFERROR(INDEX(Q:Q, MATCH(C301, O:O, 0)), "Not Found")</f>
        <v>24.772007, 46.720777</v>
      </c>
      <c r="L301">
        <v>300</v>
      </c>
      <c r="M301" s="79" t="s">
        <v>77</v>
      </c>
      <c r="N301" s="80" t="s">
        <v>1123</v>
      </c>
      <c r="O301" s="81" t="s">
        <v>1124</v>
      </c>
      <c r="P301" s="82" t="s">
        <v>38</v>
      </c>
      <c r="Q301" s="248" t="s">
        <v>1997</v>
      </c>
    </row>
    <row r="302" spans="1:17" ht="20.25">
      <c r="A302">
        <v>301</v>
      </c>
      <c r="B302" s="230" t="s">
        <v>68</v>
      </c>
      <c r="C302" s="6" t="s">
        <v>178</v>
      </c>
      <c r="E302" t="str">
        <f>IFERROR(INDEX(M:M, MATCH(C302, O:O, 0)), "Not Found")</f>
        <v>نفق الإسكان - إمتداد الطريق الدائري الشرقي مع شارع السمح بن مالك</v>
      </c>
      <c r="F302" t="str">
        <f>IFERROR(INDEX(N:N, MATCH(C302, O:O, 0)), "Not Found")</f>
        <v>Iskan1_TN_NS1</v>
      </c>
      <c r="G302" t="str">
        <f>IFERROR(INDEX(Q:Q, MATCH(C302, O:O, 0)), "Not Found")</f>
        <v>24.589051, 46.855795</v>
      </c>
      <c r="L302">
        <v>301</v>
      </c>
      <c r="M302" s="79" t="s">
        <v>77</v>
      </c>
      <c r="N302" s="80" t="s">
        <v>1125</v>
      </c>
      <c r="O302" s="81" t="s">
        <v>1126</v>
      </c>
      <c r="P302" s="82" t="s">
        <v>38</v>
      </c>
      <c r="Q302" s="248" t="s">
        <v>1998</v>
      </c>
    </row>
    <row r="303" spans="1:17" ht="21" thickBot="1">
      <c r="A303">
        <v>302</v>
      </c>
      <c r="B303" s="231" t="s">
        <v>68</v>
      </c>
      <c r="C303" s="6" t="s">
        <v>160</v>
      </c>
      <c r="E303" t="str">
        <f>IFERROR(INDEX(M:M, MATCH(C303, O:O, 0)), "Not Found")</f>
        <v>نفق الصناعية -  إمتداد الطريق الدائري الشرقي أمام شركة توزيع الغاز الطبيعي</v>
      </c>
      <c r="F303" t="str">
        <f>IFERROR(INDEX(N:N, MATCH(C303, O:O, 0)), "Not Found")</f>
        <v>INDUST_TN_NS1</v>
      </c>
      <c r="G303" t="str">
        <f>IFERROR(INDEX(Q:Q, MATCH(C303, O:O, 0)), "Not Found")</f>
        <v>24.564537, 46.896057</v>
      </c>
      <c r="L303">
        <v>302</v>
      </c>
      <c r="M303" s="83" t="s">
        <v>77</v>
      </c>
      <c r="N303" s="84" t="s">
        <v>1127</v>
      </c>
      <c r="O303" s="85" t="s">
        <v>1128</v>
      </c>
      <c r="P303" s="86" t="s">
        <v>38</v>
      </c>
      <c r="Q303" s="249" t="s">
        <v>1999</v>
      </c>
    </row>
    <row r="304" spans="1:17" ht="20.25">
      <c r="A304">
        <v>303</v>
      </c>
      <c r="B304" s="232" t="s">
        <v>70</v>
      </c>
      <c r="C304" s="6" t="s">
        <v>37</v>
      </c>
      <c r="E304" t="str">
        <f>IFERROR(INDEX(M:M, MATCH(C304, P:P, 0)), "Not Found")</f>
        <v>نفق بترومين طريق الخرج  بعد شركة مياه بيرين  اتجاه الشمال</v>
      </c>
      <c r="F304" t="str">
        <f>IFERROR(INDEX(N:N, MATCH(C304, P:P, 0)), "Not Found")</f>
        <v>Petromin_TN_1</v>
      </c>
      <c r="G304" t="str">
        <f>IFERROR(INDEX(Q:Q, MATCH(C304, P:P, 0)), "Not Found")</f>
        <v>24.540857,46.877738</v>
      </c>
      <c r="L304">
        <v>303</v>
      </c>
      <c r="M304" s="75" t="s">
        <v>1129</v>
      </c>
      <c r="N304" s="76" t="s">
        <v>1130</v>
      </c>
      <c r="O304" s="77" t="s">
        <v>131</v>
      </c>
      <c r="P304" s="78" t="s">
        <v>1669</v>
      </c>
      <c r="Q304" s="247" t="s">
        <v>2000</v>
      </c>
    </row>
    <row r="305" spans="1:17" ht="20.25">
      <c r="A305">
        <v>304</v>
      </c>
      <c r="B305" s="225" t="s">
        <v>70</v>
      </c>
      <c r="C305" s="6" t="s">
        <v>44</v>
      </c>
      <c r="E305" t="str">
        <f>IFERROR(INDEX(M:M, MATCH(C305, P:P, 0)), "Not Found")</f>
        <v>نفق  تقاطع الطريق الدائري الثاني مع شارع السلامه (خشم العان 4)</v>
      </c>
      <c r="F305" t="str">
        <f>IFERROR(INDEX(N:N, MATCH(C305, P:P, 0)), "Not Found")</f>
        <v>khashm4_u149A_1</v>
      </c>
      <c r="G305" t="str">
        <f>IFERROR(INDEX(Q:Q, MATCH(C305, P:P, 0)), "Not Found")</f>
        <v>46.855436‬‏, 24.743596</v>
      </c>
      <c r="L305">
        <v>304</v>
      </c>
      <c r="M305" s="79" t="s">
        <v>1129</v>
      </c>
      <c r="N305" s="80" t="s">
        <v>1131</v>
      </c>
      <c r="O305" s="81" t="s">
        <v>1132</v>
      </c>
      <c r="P305" s="82" t="s">
        <v>1669</v>
      </c>
      <c r="Q305" s="248" t="s">
        <v>2001</v>
      </c>
    </row>
    <row r="306" spans="1:17" ht="20.25">
      <c r="A306">
        <v>305</v>
      </c>
      <c r="B306" s="225" t="s">
        <v>70</v>
      </c>
      <c r="C306" s="6" t="s">
        <v>24</v>
      </c>
      <c r="E306" t="str">
        <f>IFERROR(INDEX(M:M, MATCH(C306, P:P, 0)), "Not Found")</f>
        <v>الطريق الدائري الثاني مع علي العريني (خشم العان 3)</v>
      </c>
      <c r="F306" t="str">
        <f>IFERROR(INDEX(N:N, MATCH(C306, P:P, 0)), "Not Found")</f>
        <v>Khashm3_TN_1</v>
      </c>
      <c r="G306" t="str">
        <f>IFERROR(INDEX(Q:Q, MATCH(C306, P:P, 0)), "Not Found")</f>
        <v>24.7495041  ,46.8510571</v>
      </c>
      <c r="L306">
        <v>305</v>
      </c>
      <c r="M306" s="79" t="s">
        <v>1129</v>
      </c>
      <c r="N306" s="80" t="s">
        <v>1133</v>
      </c>
      <c r="O306" s="81" t="s">
        <v>1134</v>
      </c>
      <c r="P306" s="82" t="s">
        <v>1669</v>
      </c>
      <c r="Q306" s="248" t="s">
        <v>2002</v>
      </c>
    </row>
    <row r="307" spans="1:17" ht="20.25">
      <c r="A307">
        <v>306</v>
      </c>
      <c r="B307" s="225" t="s">
        <v>70</v>
      </c>
      <c r="C307" s="6" t="s">
        <v>57</v>
      </c>
      <c r="E307" t="str">
        <f>IFERROR(INDEX(M:M, MATCH(C307, P:P, 0)), "Not Found")</f>
        <v xml:space="preserve">نفق  تقاطع الطريق الدائري الثاني أمام إسكان الحرس الوطني </v>
      </c>
      <c r="F307" t="str">
        <f>IFERROR(INDEX(N:N, MATCH(C307, P:P, 0)), "Not Found")</f>
        <v>NGuard_TN_1</v>
      </c>
      <c r="G307" t="str">
        <f>IFERROR(INDEX(Q:Q, MATCH(C307, P:P, 0)), "Not Found")</f>
        <v>24.678051, 46.857021</v>
      </c>
      <c r="L307">
        <v>306</v>
      </c>
      <c r="M307" s="79" t="s">
        <v>1129</v>
      </c>
      <c r="N307" s="80" t="s">
        <v>1135</v>
      </c>
      <c r="O307" s="81" t="s">
        <v>1136</v>
      </c>
      <c r="P307" s="82" t="s">
        <v>1669</v>
      </c>
      <c r="Q307" s="248" t="s">
        <v>2003</v>
      </c>
    </row>
    <row r="308" spans="1:17" ht="20.25">
      <c r="A308">
        <v>307</v>
      </c>
      <c r="B308" s="230" t="s">
        <v>68</v>
      </c>
      <c r="C308" s="6" t="s">
        <v>1460</v>
      </c>
      <c r="E308" t="str">
        <f>IFERROR(INDEX(M:M, MATCH(C308, O:O, 0)), "Not Found")</f>
        <v>الطريق الدائري الثاني مع علي العريني (خشم العان 3)</v>
      </c>
      <c r="F308" t="str">
        <f>IFERROR(INDEX(N:N, MATCH(C308, O:O, 0)), "Not Found")</f>
        <v>Khashm3_TN_1</v>
      </c>
      <c r="G308" t="str">
        <f>IFERROR(INDEX(Q:Q, MATCH(C308, O:O, 0)), "Not Found")</f>
        <v>24.7495041  ,46.8510571</v>
      </c>
      <c r="L308">
        <v>307</v>
      </c>
      <c r="M308" s="79" t="s">
        <v>1129</v>
      </c>
      <c r="N308" s="80" t="s">
        <v>1137</v>
      </c>
      <c r="O308" s="81" t="s">
        <v>1138</v>
      </c>
      <c r="P308" s="82" t="s">
        <v>1669</v>
      </c>
      <c r="Q308" s="248" t="s">
        <v>2004</v>
      </c>
    </row>
    <row r="309" spans="1:17" ht="20.25">
      <c r="A309">
        <v>308</v>
      </c>
      <c r="B309" s="226" t="s">
        <v>70</v>
      </c>
      <c r="C309" s="6" t="s">
        <v>44</v>
      </c>
      <c r="E309" t="str">
        <f>IFERROR(INDEX(M:M, MATCH(C309, P:P, 0)), "Not Found")</f>
        <v>نفق  تقاطع الطريق الدائري الثاني مع شارع السلامه (خشم العان 4)</v>
      </c>
      <c r="F309" t="str">
        <f>IFERROR(INDEX(N:N, MATCH(C309, P:P, 0)), "Not Found")</f>
        <v>khashm4_u149A_1</v>
      </c>
      <c r="G309" t="str">
        <f>IFERROR(INDEX(Q:Q, MATCH(C309, P:P, 0)), "Not Found")</f>
        <v>46.855436‬‏, 24.743596</v>
      </c>
      <c r="L309">
        <v>308</v>
      </c>
      <c r="M309" s="79" t="s">
        <v>1129</v>
      </c>
      <c r="N309" s="80" t="s">
        <v>1139</v>
      </c>
      <c r="O309" s="81" t="s">
        <v>1140</v>
      </c>
      <c r="P309" s="82" t="s">
        <v>1669</v>
      </c>
      <c r="Q309" s="248" t="s">
        <v>2005</v>
      </c>
    </row>
    <row r="310" spans="1:17" ht="21" thickBot="1">
      <c r="A310">
        <v>309</v>
      </c>
      <c r="B310" s="225" t="s">
        <v>70</v>
      </c>
      <c r="C310" s="6" t="s">
        <v>44</v>
      </c>
      <c r="E310" t="str">
        <f>IFERROR(INDEX(M:M, MATCH(C310, P:P, 0)), "Not Found")</f>
        <v>نفق  تقاطع الطريق الدائري الثاني مع شارع السلامه (خشم العان 4)</v>
      </c>
      <c r="F310" t="str">
        <f>IFERROR(INDEX(N:N, MATCH(C310, P:P, 0)), "Not Found")</f>
        <v>khashm4_u149A_1</v>
      </c>
      <c r="G310" t="str">
        <f>IFERROR(INDEX(Q:Q, MATCH(C310, P:P, 0)), "Not Found")</f>
        <v>46.855436‬‏, 24.743596</v>
      </c>
      <c r="L310">
        <v>309</v>
      </c>
      <c r="M310" s="83" t="s">
        <v>1129</v>
      </c>
      <c r="N310" s="84" t="s">
        <v>1141</v>
      </c>
      <c r="O310" s="85" t="s">
        <v>1142</v>
      </c>
      <c r="P310" s="86" t="s">
        <v>1669</v>
      </c>
      <c r="Q310" s="249" t="s">
        <v>2006</v>
      </c>
    </row>
    <row r="311" spans="1:17" ht="20.25">
      <c r="A311">
        <v>310</v>
      </c>
      <c r="B311" s="225" t="s">
        <v>70</v>
      </c>
      <c r="C311" s="6" t="s">
        <v>15</v>
      </c>
      <c r="E311" t="str">
        <f>IFERROR(INDEX(M:M, MATCH(C311, P:P, 0)), "Not Found")</f>
        <v>نفق مخرج 15  تقاطع طريق الدائري الشرقي مع طريق صلاح الدين الأيوبي</v>
      </c>
      <c r="F311" t="str">
        <f>IFERROR(INDEX(N:N, MATCH(C311, P:P, 0)), "Not Found")</f>
        <v>EX15_TN_SN1</v>
      </c>
      <c r="G311" t="str">
        <f>IFERROR(INDEX(Q:Q, MATCH(C311, P:P, 0)), "Not Found")</f>
        <v>24.679366, 46.777790</v>
      </c>
      <c r="L311">
        <v>310</v>
      </c>
      <c r="M311" s="93" t="s">
        <v>90</v>
      </c>
      <c r="N311" s="76" t="s">
        <v>1143</v>
      </c>
      <c r="O311" s="94" t="s">
        <v>1144</v>
      </c>
      <c r="P311" s="78" t="s">
        <v>89</v>
      </c>
      <c r="Q311" s="269" t="s">
        <v>2007</v>
      </c>
    </row>
    <row r="312" spans="1:17" ht="21" thickBot="1">
      <c r="A312">
        <v>311</v>
      </c>
      <c r="B312" s="225" t="s">
        <v>70</v>
      </c>
      <c r="C312" s="291" t="s">
        <v>31</v>
      </c>
      <c r="E312" t="str">
        <f>IFERROR(INDEX(M:M, MATCH(C312, P:P, 0)), "Not Found")</f>
        <v>نفق تقاطع طريق صلاح الدين مع النايقة</v>
      </c>
      <c r="F312" t="str">
        <f>IFERROR(INDEX(N:N, MATCH(C312,P:P, 0)), "Not Found")</f>
        <v>SALAHDIN_TN_1</v>
      </c>
      <c r="G312" t="str">
        <f>IFERROR(INDEX(Q:Q, MATCH(C312, P:P, 0)), "Not Found")</f>
        <v>24.678066, 46.772648</v>
      </c>
      <c r="L312">
        <v>311</v>
      </c>
      <c r="M312" s="99" t="s">
        <v>90</v>
      </c>
      <c r="N312" s="84" t="s">
        <v>1145</v>
      </c>
      <c r="O312" s="100" t="s">
        <v>1146</v>
      </c>
      <c r="P312" s="86" t="s">
        <v>89</v>
      </c>
      <c r="Q312" s="268" t="s">
        <v>2008</v>
      </c>
    </row>
    <row r="313" spans="1:17" ht="21" thickBot="1">
      <c r="A313">
        <v>312</v>
      </c>
      <c r="B313" s="229" t="s">
        <v>69</v>
      </c>
      <c r="C313" s="6" t="s">
        <v>372</v>
      </c>
      <c r="E313" t="str">
        <f>IFERROR(INDEX(M:M, MATCH(C313, O:O, 0)), "Not Found")</f>
        <v>طريق الملك سلمان - الملك فهد -غرب</v>
      </c>
      <c r="F313" t="str">
        <f>IFERROR(INDEX(N:N, MATCH(C313, O:O, 0)), "Not Found")</f>
        <v>VMS KING SALMAN KING FAHD WB</v>
      </c>
      <c r="G313" t="str">
        <f>IFERROR(INDEX(Q:Q, MATCH(C313, O:O, 0)), "Not Found")</f>
        <v>24.772007, 46.720777</v>
      </c>
      <c r="L313">
        <v>312</v>
      </c>
      <c r="M313" s="103" t="s">
        <v>1147</v>
      </c>
      <c r="N313" s="104" t="s">
        <v>1148</v>
      </c>
      <c r="O313" s="105" t="s">
        <v>1149</v>
      </c>
      <c r="P313" s="106" t="s">
        <v>78</v>
      </c>
      <c r="Q313" s="273" t="s">
        <v>2009</v>
      </c>
    </row>
    <row r="314" spans="1:17" ht="21" thickBot="1">
      <c r="A314">
        <v>313</v>
      </c>
      <c r="B314" s="230" t="s">
        <v>68</v>
      </c>
      <c r="C314" s="6" t="s">
        <v>170</v>
      </c>
      <c r="E314" t="str">
        <f>IFERROR(INDEX(M:M, MATCH(C314, O:O, 0)), "Not Found")</f>
        <v>نفق مخرج 16 طريق الدائري الشرقي تقاطع طريق عمر بن الخطاب</v>
      </c>
      <c r="F314" t="str">
        <f>IFERROR(INDEX(N:N, MATCH(C314, O:O, 0)), "Not Found")</f>
        <v>EXIT16_TN_1</v>
      </c>
      <c r="G314" t="str">
        <f>IFERROR(INDEX(Q:Q, MATCH(C314, O:O, 0)), "Not Found")</f>
        <v>24.666791, 46.784996</v>
      </c>
      <c r="L314">
        <v>313</v>
      </c>
      <c r="M314" s="103" t="s">
        <v>1150</v>
      </c>
      <c r="N314" s="104" t="s">
        <v>1151</v>
      </c>
      <c r="O314" s="105" t="s">
        <v>1152</v>
      </c>
      <c r="P314" s="106" t="s">
        <v>79</v>
      </c>
      <c r="Q314" s="273" t="s">
        <v>2010</v>
      </c>
    </row>
    <row r="315" spans="1:17" ht="21" thickBot="1">
      <c r="A315">
        <v>314</v>
      </c>
      <c r="B315" s="226" t="s">
        <v>70</v>
      </c>
      <c r="C315" s="6" t="s">
        <v>44</v>
      </c>
      <c r="E315" t="str">
        <f>IFERROR(INDEX(M:M, MATCH(C315, P:P, 0)), "Not Found")</f>
        <v>نفق  تقاطع الطريق الدائري الثاني مع شارع السلامه (خشم العان 4)</v>
      </c>
      <c r="F315" t="str">
        <f>IFERROR(INDEX(N:N, MATCH(C315, P:P, 0)), "Not Found")</f>
        <v>khashm4_u149A_1</v>
      </c>
      <c r="G315" t="str">
        <f>IFERROR(INDEX(Q:Q, MATCH(C315, P:P, 0)), "Not Found")</f>
        <v>46.855436‬‏, 24.743596</v>
      </c>
      <c r="L315">
        <v>314</v>
      </c>
      <c r="M315" s="103" t="s">
        <v>1153</v>
      </c>
      <c r="N315" s="104" t="s">
        <v>1154</v>
      </c>
      <c r="O315" s="105" t="s">
        <v>1155</v>
      </c>
      <c r="P315" s="106" t="s">
        <v>80</v>
      </c>
      <c r="Q315" s="273" t="s">
        <v>2011</v>
      </c>
    </row>
    <row r="316" spans="1:17" ht="21" thickBot="1">
      <c r="A316">
        <v>315</v>
      </c>
      <c r="B316" s="229" t="s">
        <v>69</v>
      </c>
      <c r="C316" s="6" t="s">
        <v>401</v>
      </c>
      <c r="E316" t="str">
        <f t="shared" ref="E316:E327" si="46">IFERROR(INDEX(M:M, MATCH(C316, O:O, 0)), "Not Found")</f>
        <v>طريق الملك فهد  - الإمام سعود بن فيصل - شمال</v>
      </c>
      <c r="F316" t="str">
        <f t="shared" ref="F316:F327" si="47">IFERROR(INDEX(N:N, MATCH(C316, O:O, 0)), "Not Found")</f>
        <v>VMS KING FAHD SAUD FAISAL NB</v>
      </c>
      <c r="G316" t="str">
        <f t="shared" ref="G316:G327" si="48">IFERROR(INDEX(Q:Q, MATCH(C316, O:O, 0)), "Not Found")</f>
        <v>24.674992°, 46.673013°</v>
      </c>
      <c r="L316">
        <v>315</v>
      </c>
      <c r="M316" s="107" t="s">
        <v>1156</v>
      </c>
      <c r="N316" s="104" t="s">
        <v>1157</v>
      </c>
      <c r="O316" s="108" t="s">
        <v>1158</v>
      </c>
      <c r="P316" s="109" t="s">
        <v>91</v>
      </c>
      <c r="Q316" s="274" t="s">
        <v>2012</v>
      </c>
    </row>
    <row r="317" spans="1:17" ht="21" thickBot="1">
      <c r="A317">
        <v>316</v>
      </c>
      <c r="B317" s="230" t="s">
        <v>68</v>
      </c>
      <c r="C317" s="6" t="s">
        <v>177</v>
      </c>
      <c r="E317" t="str">
        <f t="shared" si="46"/>
        <v>مخرج 6 الى 5 -  الدائري الشمالي - غرب - جانتري (1)</v>
      </c>
      <c r="F317" t="str">
        <f t="shared" si="47"/>
        <v>EX6TO5-W-1</v>
      </c>
      <c r="G317" t="str">
        <f t="shared" si="48"/>
        <v xml:space="preserve">24.773812, 46.677174  </v>
      </c>
      <c r="L317">
        <v>316</v>
      </c>
      <c r="M317" s="107" t="s">
        <v>1159</v>
      </c>
      <c r="N317" s="104" t="s">
        <v>1160</v>
      </c>
      <c r="O317" s="108" t="s">
        <v>1161</v>
      </c>
      <c r="P317" s="109" t="s">
        <v>92</v>
      </c>
      <c r="Q317" s="274" t="s">
        <v>2013</v>
      </c>
    </row>
    <row r="318" spans="1:17" ht="21" thickBot="1">
      <c r="A318">
        <v>317</v>
      </c>
      <c r="B318" s="231" t="s">
        <v>68</v>
      </c>
      <c r="C318" s="6" t="s">
        <v>125</v>
      </c>
      <c r="E318" t="str">
        <f t="shared" si="46"/>
        <v>نفق طريق الامام سعود بن عبدالعزيز تقاطع طريق الملك فهد (دلة)</v>
      </c>
      <c r="F318" t="str">
        <f t="shared" si="47"/>
        <v>U101_DALLA_TN3</v>
      </c>
      <c r="G318" t="str">
        <f t="shared" si="48"/>
        <v>24.7444901, 46.6556093</v>
      </c>
      <c r="L318">
        <v>317</v>
      </c>
      <c r="M318" s="107" t="s">
        <v>1162</v>
      </c>
      <c r="N318" s="104" t="s">
        <v>1163</v>
      </c>
      <c r="O318" s="108" t="s">
        <v>1164</v>
      </c>
      <c r="P318" s="109" t="s">
        <v>93</v>
      </c>
      <c r="Q318" s="274" t="s">
        <v>2014</v>
      </c>
    </row>
    <row r="319" spans="1:17" ht="21" thickBot="1">
      <c r="A319">
        <v>318</v>
      </c>
      <c r="B319" s="228" t="s">
        <v>69</v>
      </c>
      <c r="C319" s="6" t="s">
        <v>381</v>
      </c>
      <c r="E319" t="str">
        <f t="shared" si="46"/>
        <v>طريق الملك فهد - الثمامة الفرعي - جنوب</v>
      </c>
      <c r="F319" t="str">
        <f t="shared" si="47"/>
        <v>VMS KING FAHD THUMAMA SB</v>
      </c>
      <c r="G319" t="str">
        <f t="shared" si="48"/>
        <v xml:space="preserve"> 24.832736° -  46.628369°</v>
      </c>
      <c r="L319">
        <v>318</v>
      </c>
      <c r="M319" s="103" t="s">
        <v>1165</v>
      </c>
      <c r="N319" s="104" t="s">
        <v>1166</v>
      </c>
      <c r="O319" s="105" t="s">
        <v>1167</v>
      </c>
      <c r="P319" s="106" t="s">
        <v>81</v>
      </c>
      <c r="Q319" s="273" t="s">
        <v>2015</v>
      </c>
    </row>
    <row r="320" spans="1:17" ht="21.75">
      <c r="A320">
        <v>319</v>
      </c>
      <c r="B320" s="229" t="s">
        <v>69</v>
      </c>
      <c r="C320" s="6" t="s">
        <v>401</v>
      </c>
      <c r="E320" t="str">
        <f t="shared" si="46"/>
        <v>طريق الملك فهد  - الإمام سعود بن فيصل - شمال</v>
      </c>
      <c r="F320" t="str">
        <f t="shared" si="47"/>
        <v>VMS KING FAHD SAUD FAISAL NB</v>
      </c>
      <c r="G320" t="str">
        <f t="shared" si="48"/>
        <v>24.674992°, 46.673013°</v>
      </c>
      <c r="L320">
        <v>319</v>
      </c>
      <c r="M320" s="110" t="s">
        <v>1168</v>
      </c>
      <c r="N320" s="76" t="s">
        <v>1169</v>
      </c>
      <c r="O320" s="94" t="s">
        <v>156</v>
      </c>
      <c r="P320" s="95" t="s">
        <v>102</v>
      </c>
      <c r="Q320" s="269" t="s">
        <v>2016</v>
      </c>
    </row>
    <row r="321" spans="1:17" ht="21.75">
      <c r="A321">
        <v>320</v>
      </c>
      <c r="B321" s="229" t="s">
        <v>69</v>
      </c>
      <c r="C321" s="6" t="s">
        <v>401</v>
      </c>
      <c r="E321" t="str">
        <f t="shared" si="46"/>
        <v>طريق الملك فهد  - الإمام سعود بن فيصل - شمال</v>
      </c>
      <c r="F321" t="str">
        <f t="shared" si="47"/>
        <v>VMS KING FAHD SAUD FAISAL NB</v>
      </c>
      <c r="G321" t="str">
        <f t="shared" si="48"/>
        <v>24.674992°, 46.673013°</v>
      </c>
      <c r="L321">
        <v>320</v>
      </c>
      <c r="M321" s="111" t="s">
        <v>1168</v>
      </c>
      <c r="N321" s="80" t="s">
        <v>1170</v>
      </c>
      <c r="O321" s="97" t="s">
        <v>1171</v>
      </c>
      <c r="P321" s="98" t="s">
        <v>102</v>
      </c>
      <c r="Q321" s="267" t="s">
        <v>2017</v>
      </c>
    </row>
    <row r="322" spans="1:17" ht="21.75">
      <c r="A322">
        <v>321</v>
      </c>
      <c r="B322" s="229" t="s">
        <v>69</v>
      </c>
      <c r="C322" s="6" t="s">
        <v>401</v>
      </c>
      <c r="E322" t="str">
        <f t="shared" si="46"/>
        <v>طريق الملك فهد  - الإمام سعود بن فيصل - شمال</v>
      </c>
      <c r="F322" t="str">
        <f t="shared" si="47"/>
        <v>VMS KING FAHD SAUD FAISAL NB</v>
      </c>
      <c r="G322" t="str">
        <f t="shared" si="48"/>
        <v>24.674992°, 46.673013°</v>
      </c>
      <c r="L322">
        <v>321</v>
      </c>
      <c r="M322" s="111" t="s">
        <v>1168</v>
      </c>
      <c r="N322" s="80" t="s">
        <v>1172</v>
      </c>
      <c r="O322" s="97" t="s">
        <v>1173</v>
      </c>
      <c r="P322" s="98" t="s">
        <v>102</v>
      </c>
      <c r="Q322" s="267" t="s">
        <v>2018</v>
      </c>
    </row>
    <row r="323" spans="1:17" ht="21.75">
      <c r="A323">
        <v>322</v>
      </c>
      <c r="B323" s="229" t="s">
        <v>69</v>
      </c>
      <c r="C323" s="6" t="s">
        <v>401</v>
      </c>
      <c r="E323" t="str">
        <f t="shared" si="46"/>
        <v>طريق الملك فهد  - الإمام سعود بن فيصل - شمال</v>
      </c>
      <c r="F323" t="str">
        <f t="shared" si="47"/>
        <v>VMS KING FAHD SAUD FAISAL NB</v>
      </c>
      <c r="G323" t="str">
        <f t="shared" si="48"/>
        <v>24.674992°, 46.673013°</v>
      </c>
      <c r="L323">
        <v>322</v>
      </c>
      <c r="M323" s="111" t="s">
        <v>1168</v>
      </c>
      <c r="N323" s="80" t="s">
        <v>1174</v>
      </c>
      <c r="O323" s="97" t="s">
        <v>1175</v>
      </c>
      <c r="P323" s="98" t="s">
        <v>102</v>
      </c>
      <c r="Q323" s="267" t="s">
        <v>2019</v>
      </c>
    </row>
    <row r="324" spans="1:17" ht="21.75">
      <c r="A324">
        <v>323</v>
      </c>
      <c r="B324" s="229" t="s">
        <v>69</v>
      </c>
      <c r="C324" s="6" t="s">
        <v>399</v>
      </c>
      <c r="E324" t="str">
        <f t="shared" si="46"/>
        <v>طريق الملك فهد - الإمام سعود بن فيصل - جنوب</v>
      </c>
      <c r="F324" t="str">
        <f t="shared" si="47"/>
        <v>VMS KING FAHD SAUD FAISAL SB</v>
      </c>
      <c r="G324" t="str">
        <f t="shared" si="48"/>
        <v>24.754665°- 46.632595°</v>
      </c>
      <c r="L324">
        <v>323</v>
      </c>
      <c r="M324" s="111" t="s">
        <v>1168</v>
      </c>
      <c r="N324" s="80" t="s">
        <v>1176</v>
      </c>
      <c r="O324" s="97" t="s">
        <v>1177</v>
      </c>
      <c r="P324" s="98" t="s">
        <v>102</v>
      </c>
      <c r="Q324" s="267" t="s">
        <v>2020</v>
      </c>
    </row>
    <row r="325" spans="1:17" ht="21.75">
      <c r="A325">
        <v>324</v>
      </c>
      <c r="B325" s="229" t="s">
        <v>69</v>
      </c>
      <c r="C325" s="6" t="s">
        <v>401</v>
      </c>
      <c r="E325" t="str">
        <f t="shared" si="46"/>
        <v>طريق الملك فهد  - الإمام سعود بن فيصل - شمال</v>
      </c>
      <c r="F325" t="str">
        <f t="shared" si="47"/>
        <v>VMS KING FAHD SAUD FAISAL NB</v>
      </c>
      <c r="G325" t="str">
        <f t="shared" si="48"/>
        <v>24.674992°, 46.673013°</v>
      </c>
      <c r="L325">
        <v>324</v>
      </c>
      <c r="M325" s="111" t="s">
        <v>1168</v>
      </c>
      <c r="N325" s="80" t="s">
        <v>1178</v>
      </c>
      <c r="O325" s="97" t="s">
        <v>1179</v>
      </c>
      <c r="P325" s="98" t="s">
        <v>102</v>
      </c>
      <c r="Q325" s="267" t="s">
        <v>2021</v>
      </c>
    </row>
    <row r="326" spans="1:17" ht="21.75">
      <c r="A326">
        <v>325</v>
      </c>
      <c r="B326" s="229" t="s">
        <v>69</v>
      </c>
      <c r="C326" s="6" t="s">
        <v>383</v>
      </c>
      <c r="E326" t="str">
        <f t="shared" si="46"/>
        <v>طريق الملك فهد - ميدان القاهرة  - شمال</v>
      </c>
      <c r="F326" t="str">
        <f t="shared" si="47"/>
        <v>VMS CAIRO NB</v>
      </c>
      <c r="G326" t="str">
        <f t="shared" si="48"/>
        <v xml:space="preserve"> 24.837080° -  46.639405°</v>
      </c>
      <c r="L326">
        <v>325</v>
      </c>
      <c r="M326" s="111" t="s">
        <v>1168</v>
      </c>
      <c r="N326" s="80" t="s">
        <v>1180</v>
      </c>
      <c r="O326" s="97" t="s">
        <v>1181</v>
      </c>
      <c r="P326" s="98" t="s">
        <v>102</v>
      </c>
      <c r="Q326" s="267" t="s">
        <v>2022</v>
      </c>
    </row>
    <row r="327" spans="1:17" ht="21.75">
      <c r="A327">
        <v>326</v>
      </c>
      <c r="B327" s="230" t="s">
        <v>68</v>
      </c>
      <c r="C327" s="6" t="s">
        <v>121</v>
      </c>
      <c r="E327" t="str">
        <f t="shared" si="46"/>
        <v>نفق طريق الملك فهد تقاطع طريق الملك سلمان</v>
      </c>
      <c r="F327" t="str">
        <f t="shared" si="47"/>
        <v>Fahd_Salman_TN_N</v>
      </c>
      <c r="G327" t="str">
        <f t="shared" si="48"/>
        <v>24.826447, 46.614377</v>
      </c>
      <c r="L327">
        <v>326</v>
      </c>
      <c r="M327" s="111" t="s">
        <v>1168</v>
      </c>
      <c r="N327" s="80" t="s">
        <v>1182</v>
      </c>
      <c r="O327" s="97" t="s">
        <v>1183</v>
      </c>
      <c r="P327" s="98" t="s">
        <v>102</v>
      </c>
      <c r="Q327" s="267" t="s">
        <v>2023</v>
      </c>
    </row>
    <row r="328" spans="1:17" ht="21.75">
      <c r="A328">
        <v>327</v>
      </c>
      <c r="B328" s="226" t="s">
        <v>70</v>
      </c>
      <c r="C328" s="291" t="s">
        <v>27</v>
      </c>
      <c r="E328" t="str">
        <f>IFERROR(INDEX(M:M, MATCH(C328, P:P, 0)), "Not Found")</f>
        <v>نفق طريق الملك فهد تقاطع طريق الملك سلمان</v>
      </c>
      <c r="F328" t="str">
        <f>IFERROR(INDEX(N:N, MATCH(C328,P:P, 0)), "Not Found")</f>
        <v>Fahd_Salman_TN_N</v>
      </c>
      <c r="G328" t="str">
        <f>IFERROR(INDEX(Q:Q, MATCH(C328, P:P, 0)), "Not Found")</f>
        <v>24.826447, 46.614377</v>
      </c>
      <c r="L328">
        <v>327</v>
      </c>
      <c r="M328" s="111" t="s">
        <v>1168</v>
      </c>
      <c r="N328" s="80" t="s">
        <v>1184</v>
      </c>
      <c r="O328" s="97" t="s">
        <v>1185</v>
      </c>
      <c r="P328" s="98" t="s">
        <v>102</v>
      </c>
      <c r="Q328" s="267" t="s">
        <v>2024</v>
      </c>
    </row>
    <row r="329" spans="1:17" ht="22.5" thickBot="1">
      <c r="A329">
        <v>328</v>
      </c>
      <c r="B329" s="225" t="s">
        <v>70</v>
      </c>
      <c r="C329" s="291" t="s">
        <v>45</v>
      </c>
      <c r="E329" t="str">
        <f>IFERROR(INDEX(M:M, MATCH(C329, P:P, 0)), "Not Found")</f>
        <v>نفق تقاطع طريق الملك عبدالعزيز مع طريق مكة المكرمة (البترول)</v>
      </c>
      <c r="F329" t="str">
        <f>IFERROR(INDEX(N:N, MATCH(C329,P:P, 0)), "Not Found")</f>
        <v>U104_Petrol_1</v>
      </c>
      <c r="G329" t="str">
        <f>IFERROR(INDEX(Q:Q, MATCH(C329, P:P, 0)), "Not Found")</f>
        <v>24.691928, 46.718047</v>
      </c>
      <c r="L329">
        <v>328</v>
      </c>
      <c r="M329" s="298" t="s">
        <v>1168</v>
      </c>
      <c r="N329" s="84" t="s">
        <v>1186</v>
      </c>
      <c r="O329" s="100" t="s">
        <v>1187</v>
      </c>
      <c r="P329" s="101" t="s">
        <v>102</v>
      </c>
      <c r="Q329" s="268" t="s">
        <v>2025</v>
      </c>
    </row>
    <row r="330" spans="1:17" ht="21">
      <c r="A330">
        <v>329</v>
      </c>
      <c r="B330" s="230" t="s">
        <v>68</v>
      </c>
      <c r="C330" s="6" t="s">
        <v>127</v>
      </c>
      <c r="E330" t="str">
        <f t="shared" ref="E330:E341" si="49">IFERROR(INDEX(M:M, MATCH(C330, O:O, 0)), "Not Found")</f>
        <v>تقاطع طريق الإمام سعود مع طريق أبي بكر الصديق</v>
      </c>
      <c r="F330" t="str">
        <f t="shared" ref="F330:F341" si="50">IFERROR(INDEX(N:N, MATCH(C330, O:O, 0)), "Not Found")</f>
        <v>U13-G-EW</v>
      </c>
      <c r="G330" t="str">
        <f t="shared" ref="G330:G341" si="51">IFERROR(INDEX(Q:Q, MATCH(C330, O:O, 0)), "Not Found")</f>
        <v>24.762225, 46.697203</v>
      </c>
      <c r="L330">
        <v>329</v>
      </c>
      <c r="M330" s="112" t="s">
        <v>1188</v>
      </c>
      <c r="N330" s="113" t="s">
        <v>1189</v>
      </c>
      <c r="O330" s="114" t="s">
        <v>123</v>
      </c>
      <c r="P330" s="115" t="s">
        <v>59</v>
      </c>
      <c r="Q330" s="275" t="s">
        <v>2026</v>
      </c>
    </row>
    <row r="331" spans="1:17" ht="21">
      <c r="A331">
        <v>330</v>
      </c>
      <c r="B331" s="231" t="s">
        <v>68</v>
      </c>
      <c r="C331" s="6" t="s">
        <v>166</v>
      </c>
      <c r="E331" t="str">
        <f t="shared" si="49"/>
        <v>تقاطع طريق ديراب مع المثنى بن حارثة</v>
      </c>
      <c r="F331" t="str">
        <f t="shared" si="50"/>
        <v>U14-1-sn2</v>
      </c>
      <c r="G331" t="str">
        <f t="shared" si="51"/>
        <v>24.574956, 46.696082</v>
      </c>
      <c r="L331">
        <v>330</v>
      </c>
      <c r="M331" s="116" t="s">
        <v>1188</v>
      </c>
      <c r="N331" s="117" t="s">
        <v>1190</v>
      </c>
      <c r="O331" s="118" t="s">
        <v>124</v>
      </c>
      <c r="P331" s="119" t="s">
        <v>59</v>
      </c>
      <c r="Q331" s="276" t="s">
        <v>2027</v>
      </c>
    </row>
    <row r="332" spans="1:17" ht="21">
      <c r="A332">
        <v>331</v>
      </c>
      <c r="B332" s="231" t="s">
        <v>68</v>
      </c>
      <c r="C332" s="6" t="s">
        <v>166</v>
      </c>
      <c r="E332" t="str">
        <f t="shared" si="49"/>
        <v>تقاطع طريق ديراب مع المثنى بن حارثة</v>
      </c>
      <c r="F332" t="str">
        <f t="shared" si="50"/>
        <v>U14-1-sn2</v>
      </c>
      <c r="G332" t="str">
        <f t="shared" si="51"/>
        <v>24.574956, 46.696082</v>
      </c>
      <c r="L332">
        <v>331</v>
      </c>
      <c r="M332" s="116" t="s">
        <v>1188</v>
      </c>
      <c r="N332" s="117" t="s">
        <v>1191</v>
      </c>
      <c r="O332" s="118" t="s">
        <v>125</v>
      </c>
      <c r="P332" s="119" t="s">
        <v>59</v>
      </c>
      <c r="Q332" s="276" t="s">
        <v>2028</v>
      </c>
    </row>
    <row r="333" spans="1:17" ht="21">
      <c r="A333">
        <v>332</v>
      </c>
      <c r="B333" s="231" t="s">
        <v>68</v>
      </c>
      <c r="C333" s="6" t="s">
        <v>165</v>
      </c>
      <c r="E333" t="str">
        <f t="shared" si="49"/>
        <v xml:space="preserve">تقاطع شارع السويدي العام مع شارع عبد الملك بن هاشم </v>
      </c>
      <c r="F333" t="str">
        <f t="shared" si="50"/>
        <v>u9-ew-2</v>
      </c>
      <c r="G333" t="str">
        <f t="shared" si="51"/>
        <v>24.590330, 46.672734</v>
      </c>
      <c r="L333">
        <v>332</v>
      </c>
      <c r="M333" s="116" t="s">
        <v>1188</v>
      </c>
      <c r="N333" s="117" t="s">
        <v>1192</v>
      </c>
      <c r="O333" s="118" t="s">
        <v>126</v>
      </c>
      <c r="P333" s="119" t="s">
        <v>59</v>
      </c>
      <c r="Q333" s="276" t="s">
        <v>2029</v>
      </c>
    </row>
    <row r="334" spans="1:17" ht="21.75" thickBot="1">
      <c r="A334">
        <v>333</v>
      </c>
      <c r="B334" s="231" t="s">
        <v>68</v>
      </c>
      <c r="C334" s="6" t="s">
        <v>167</v>
      </c>
      <c r="E334" t="str">
        <f t="shared" si="49"/>
        <v>تقاطع طريق ديراب مع طريق الإمام مسلم</v>
      </c>
      <c r="F334" t="str">
        <f t="shared" si="50"/>
        <v>U15-1-ns1</v>
      </c>
      <c r="G334" t="str">
        <f t="shared" si="51"/>
        <v>24.556738, 46.674784</v>
      </c>
      <c r="L334">
        <v>333</v>
      </c>
      <c r="M334" s="120" t="s">
        <v>1188</v>
      </c>
      <c r="N334" s="121" t="s">
        <v>1193</v>
      </c>
      <c r="O334" s="122" t="s">
        <v>1194</v>
      </c>
      <c r="P334" s="123" t="s">
        <v>59</v>
      </c>
      <c r="Q334" s="277" t="s">
        <v>2030</v>
      </c>
    </row>
    <row r="335" spans="1:17" ht="21">
      <c r="A335">
        <v>334</v>
      </c>
      <c r="B335" s="231" t="s">
        <v>68</v>
      </c>
      <c r="C335" s="6" t="s">
        <v>168</v>
      </c>
      <c r="E335" t="str">
        <f t="shared" si="49"/>
        <v>تقاطع طريق ديراب مع طريق الإمام مسلم</v>
      </c>
      <c r="F335" t="str">
        <f t="shared" si="50"/>
        <v>U15-2-ns1</v>
      </c>
      <c r="G335" t="str">
        <f t="shared" si="51"/>
        <v>24.551684, 46.670438</v>
      </c>
      <c r="L335">
        <v>334</v>
      </c>
      <c r="M335" s="124" t="s">
        <v>1195</v>
      </c>
      <c r="N335" s="125" t="s">
        <v>1196</v>
      </c>
      <c r="O335" s="126" t="s">
        <v>1197</v>
      </c>
      <c r="P335" s="125" t="s">
        <v>1670</v>
      </c>
      <c r="Q335" s="278" t="s">
        <v>2031</v>
      </c>
    </row>
    <row r="336" spans="1:17" ht="21.75" thickBot="1">
      <c r="A336">
        <v>335</v>
      </c>
      <c r="B336" s="231" t="s">
        <v>68</v>
      </c>
      <c r="C336" s="6" t="s">
        <v>169</v>
      </c>
      <c r="E336" t="str">
        <f t="shared" si="49"/>
        <v>تقاطع طريق ديراب مع الصحراء وحمزة بن عبد المطلب</v>
      </c>
      <c r="F336" t="str">
        <f t="shared" si="50"/>
        <v>U16-sn2</v>
      </c>
      <c r="G336" t="str">
        <f t="shared" si="51"/>
        <v>24.536564, 46.658367</v>
      </c>
      <c r="L336">
        <v>335</v>
      </c>
      <c r="M336" s="127" t="s">
        <v>1195</v>
      </c>
      <c r="N336" s="121" t="s">
        <v>1198</v>
      </c>
      <c r="O336" s="128" t="s">
        <v>1199</v>
      </c>
      <c r="P336" s="121" t="s">
        <v>1670</v>
      </c>
      <c r="Q336" s="277" t="s">
        <v>2032</v>
      </c>
    </row>
    <row r="337" spans="1:17" ht="21">
      <c r="A337">
        <v>336</v>
      </c>
      <c r="B337" s="228" t="s">
        <v>69</v>
      </c>
      <c r="C337" s="6" t="s">
        <v>342</v>
      </c>
      <c r="E337" t="str">
        <f t="shared" si="49"/>
        <v>تقاطع شارع الوشم مع شارع الناصرية ـــ وزارة الخارجية</v>
      </c>
      <c r="F337" t="str">
        <f t="shared" si="50"/>
        <v>U10-RG-WB</v>
      </c>
      <c r="G337" t="str">
        <f t="shared" si="51"/>
        <v>24.650806, 46.735694</v>
      </c>
      <c r="L337">
        <v>336</v>
      </c>
      <c r="M337" s="124" t="s">
        <v>1200</v>
      </c>
      <c r="N337" s="129" t="s">
        <v>1201</v>
      </c>
      <c r="O337" s="126" t="s">
        <v>1202</v>
      </c>
      <c r="P337" s="125" t="s">
        <v>94</v>
      </c>
      <c r="Q337" s="275" t="s">
        <v>2033</v>
      </c>
    </row>
    <row r="338" spans="1:17" ht="21">
      <c r="A338">
        <v>337</v>
      </c>
      <c r="B338" s="229" t="s">
        <v>69</v>
      </c>
      <c r="C338" s="6" t="s">
        <v>446</v>
      </c>
      <c r="E338" t="str">
        <f t="shared" si="49"/>
        <v>طريق الشيخ جابر الصباح - خريص - جنوب</v>
      </c>
      <c r="F338" t="str">
        <f t="shared" si="50"/>
        <v>VMS SHEIKH JABR SB</v>
      </c>
      <c r="G338" t="str">
        <f t="shared" si="51"/>
        <v xml:space="preserve"> 24.760372° -  46.835839°</v>
      </c>
      <c r="L338">
        <v>337</v>
      </c>
      <c r="M338" s="130" t="s">
        <v>1200</v>
      </c>
      <c r="N338" s="131" t="s">
        <v>1203</v>
      </c>
      <c r="O338" s="132" t="s">
        <v>1204</v>
      </c>
      <c r="P338" s="117" t="s">
        <v>94</v>
      </c>
      <c r="Q338" s="276" t="s">
        <v>2034</v>
      </c>
    </row>
    <row r="339" spans="1:17" ht="21.75" thickBot="1">
      <c r="A339">
        <v>338</v>
      </c>
      <c r="B339" s="229" t="s">
        <v>69</v>
      </c>
      <c r="C339" s="6" t="s">
        <v>475</v>
      </c>
      <c r="E339" t="str">
        <f t="shared" si="49"/>
        <v>طريق جدة  مدخل الرياض - إتجاه الرياض</v>
      </c>
      <c r="F339" t="str">
        <f t="shared" si="50"/>
        <v>VMS JEDDAH ROAD</v>
      </c>
      <c r="G339" t="str">
        <f t="shared" si="51"/>
        <v>24.620331, 46.574278</v>
      </c>
      <c r="L339">
        <v>338</v>
      </c>
      <c r="M339" s="127" t="s">
        <v>1200</v>
      </c>
      <c r="N339" s="133" t="s">
        <v>1205</v>
      </c>
      <c r="O339" s="128" t="s">
        <v>1206</v>
      </c>
      <c r="P339" s="121" t="s">
        <v>94</v>
      </c>
      <c r="Q339" s="277" t="s">
        <v>2035</v>
      </c>
    </row>
    <row r="340" spans="1:17" ht="21">
      <c r="A340">
        <v>339</v>
      </c>
      <c r="B340" s="229" t="s">
        <v>69</v>
      </c>
      <c r="C340" s="6" t="s">
        <v>475</v>
      </c>
      <c r="E340" t="str">
        <f t="shared" si="49"/>
        <v>طريق جدة  مدخل الرياض - إتجاه الرياض</v>
      </c>
      <c r="F340" t="str">
        <f t="shared" si="50"/>
        <v>VMS JEDDAH ROAD</v>
      </c>
      <c r="G340" t="str">
        <f t="shared" si="51"/>
        <v>24.620331, 46.574278</v>
      </c>
      <c r="L340">
        <v>339</v>
      </c>
      <c r="M340" s="134" t="s">
        <v>1207</v>
      </c>
      <c r="N340" s="125" t="s">
        <v>1208</v>
      </c>
      <c r="O340" s="135" t="s">
        <v>147</v>
      </c>
      <c r="P340" s="113" t="s">
        <v>45</v>
      </c>
      <c r="Q340" s="275" t="s">
        <v>2036</v>
      </c>
    </row>
    <row r="341" spans="1:17" ht="21">
      <c r="A341">
        <v>340</v>
      </c>
      <c r="B341" s="229" t="s">
        <v>69</v>
      </c>
      <c r="C341" s="6" t="s">
        <v>475</v>
      </c>
      <c r="E341" t="str">
        <f t="shared" si="49"/>
        <v>طريق جدة  مدخل الرياض - إتجاه الرياض</v>
      </c>
      <c r="F341" t="str">
        <f t="shared" si="50"/>
        <v>VMS JEDDAH ROAD</v>
      </c>
      <c r="G341" t="str">
        <f t="shared" si="51"/>
        <v>24.620331, 46.574278</v>
      </c>
      <c r="L341">
        <v>340</v>
      </c>
      <c r="M341" s="136" t="s">
        <v>1207</v>
      </c>
      <c r="N341" s="117" t="s">
        <v>1209</v>
      </c>
      <c r="O341" s="137" t="s">
        <v>1210</v>
      </c>
      <c r="P341" s="138" t="s">
        <v>45</v>
      </c>
      <c r="Q341" s="276" t="s">
        <v>2037</v>
      </c>
    </row>
    <row r="342" spans="1:17" ht="21">
      <c r="A342">
        <v>341</v>
      </c>
      <c r="B342" s="225" t="s">
        <v>70</v>
      </c>
      <c r="C342" s="291" t="s">
        <v>27</v>
      </c>
      <c r="E342" t="str">
        <f>IFERROR(INDEX(M:M, MATCH(C342, P:P, 0)), "Not Found")</f>
        <v>نفق طريق الملك فهد تقاطع طريق الملك سلمان</v>
      </c>
      <c r="F342" t="str">
        <f>IFERROR(INDEX(N:N, MATCH(C342,P:P, 0)), "Not Found")</f>
        <v>Fahd_Salman_TN_N</v>
      </c>
      <c r="G342" t="str">
        <f>IFERROR(INDEX(Q:Q, MATCH(C342, P:P, 0)), "Not Found")</f>
        <v>24.826447, 46.614377</v>
      </c>
      <c r="L342">
        <v>341</v>
      </c>
      <c r="M342" s="136" t="s">
        <v>1207</v>
      </c>
      <c r="N342" s="117" t="s">
        <v>1211</v>
      </c>
      <c r="O342" s="137" t="s">
        <v>1212</v>
      </c>
      <c r="P342" s="138" t="s">
        <v>45</v>
      </c>
      <c r="Q342" s="276" t="s">
        <v>2038</v>
      </c>
    </row>
    <row r="343" spans="1:17" ht="21">
      <c r="A343">
        <v>342</v>
      </c>
      <c r="B343" s="225" t="s">
        <v>70</v>
      </c>
      <c r="C343" s="6" t="s">
        <v>61</v>
      </c>
      <c r="E343" t="str">
        <f>IFERROR(INDEX(M:M, MATCH(C343, P:P, 0)), "Not Found")</f>
        <v>تقاطع اسكان رقم 2 مع امتداد الطريق الدائرى الشرقى</v>
      </c>
      <c r="F343" t="str">
        <f>IFERROR(INDEX(N:N, MATCH(C343, P:P, 0)), "Not Found")</f>
        <v>Iskan2_TN_1</v>
      </c>
      <c r="G343" t="str">
        <f>IFERROR(INDEX(Q:Q, MATCH(C343, P:P, 0)), "Not Found")</f>
        <v>24.5859507, 46.8688405</v>
      </c>
      <c r="L343">
        <v>342</v>
      </c>
      <c r="M343" s="136" t="s">
        <v>1207</v>
      </c>
      <c r="N343" s="117" t="s">
        <v>1213</v>
      </c>
      <c r="O343" s="137" t="s">
        <v>1214</v>
      </c>
      <c r="P343" s="138" t="s">
        <v>45</v>
      </c>
      <c r="Q343" s="276" t="s">
        <v>2039</v>
      </c>
    </row>
    <row r="344" spans="1:17" ht="21">
      <c r="A344">
        <v>343</v>
      </c>
      <c r="B344" s="225" t="s">
        <v>70</v>
      </c>
      <c r="C344" s="291" t="s">
        <v>13</v>
      </c>
      <c r="E344" t="str">
        <f>IFERROR(INDEX(M:M, MATCH(C344, P:P, 0)), "Not Found")</f>
        <v>نفق تقاطع طريق الدائري الشرقي مع طريق المدينة المنورة (مخرج17)</v>
      </c>
      <c r="F344" t="str">
        <f>IFERROR(INDEX(N:N, MATCH(C344,P:P, 0)), "Not Found")</f>
        <v>EX17_TN_SN1</v>
      </c>
      <c r="G344" t="str">
        <f>IFERROR(INDEX(Q:Q, MATCH(C344, P:P, 0)), "Not Found")</f>
        <v>24.653228, 46.792334</v>
      </c>
      <c r="L344">
        <v>343</v>
      </c>
      <c r="M344" s="136" t="s">
        <v>1207</v>
      </c>
      <c r="N344" s="117" t="s">
        <v>1215</v>
      </c>
      <c r="O344" s="137" t="s">
        <v>1216</v>
      </c>
      <c r="P344" s="138" t="s">
        <v>45</v>
      </c>
      <c r="Q344" s="276" t="s">
        <v>2040</v>
      </c>
    </row>
    <row r="345" spans="1:17" ht="21.75" thickBot="1">
      <c r="A345">
        <v>344</v>
      </c>
      <c r="B345" s="229" t="s">
        <v>69</v>
      </c>
      <c r="C345" s="6" t="s">
        <v>475</v>
      </c>
      <c r="E345" t="str">
        <f t="shared" ref="E345:E352" si="52">IFERROR(INDEX(M:M, MATCH(C345, O:O, 0)), "Not Found")</f>
        <v>طريق جدة  مدخل الرياض - إتجاه الرياض</v>
      </c>
      <c r="F345" t="str">
        <f t="shared" ref="F345:F352" si="53">IFERROR(INDEX(N:N, MATCH(C345, O:O, 0)), "Not Found")</f>
        <v>VMS JEDDAH ROAD</v>
      </c>
      <c r="G345" t="str">
        <f t="shared" ref="G345:G352" si="54">IFERROR(INDEX(Q:Q, MATCH(C345, O:O, 0)), "Not Found")</f>
        <v>24.620331, 46.574278</v>
      </c>
      <c r="L345">
        <v>344</v>
      </c>
      <c r="M345" s="139" t="s">
        <v>1207</v>
      </c>
      <c r="N345" s="121" t="s">
        <v>1217</v>
      </c>
      <c r="O345" s="140" t="s">
        <v>1218</v>
      </c>
      <c r="P345" s="141" t="s">
        <v>45</v>
      </c>
      <c r="Q345" s="279" t="s">
        <v>2041</v>
      </c>
    </row>
    <row r="346" spans="1:17" ht="21">
      <c r="A346">
        <v>345</v>
      </c>
      <c r="B346" s="229" t="s">
        <v>69</v>
      </c>
      <c r="C346" s="6" t="s">
        <v>475</v>
      </c>
      <c r="E346" t="str">
        <f t="shared" si="52"/>
        <v>طريق جدة  مدخل الرياض - إتجاه الرياض</v>
      </c>
      <c r="F346" t="str">
        <f t="shared" si="53"/>
        <v>VMS JEDDAH ROAD</v>
      </c>
      <c r="G346" t="str">
        <f t="shared" si="54"/>
        <v>24.620331, 46.574278</v>
      </c>
      <c r="L346">
        <v>345</v>
      </c>
      <c r="M346" s="142" t="s">
        <v>1219</v>
      </c>
      <c r="N346" s="125" t="s">
        <v>1220</v>
      </c>
      <c r="O346" s="135" t="s">
        <v>1221</v>
      </c>
      <c r="P346" s="113" t="s">
        <v>1671</v>
      </c>
      <c r="Q346" s="275" t="s">
        <v>2042</v>
      </c>
    </row>
    <row r="347" spans="1:17" ht="21">
      <c r="A347">
        <v>346</v>
      </c>
      <c r="B347" s="229" t="s">
        <v>69</v>
      </c>
      <c r="C347" s="6" t="s">
        <v>475</v>
      </c>
      <c r="E347" t="str">
        <f t="shared" si="52"/>
        <v>طريق جدة  مدخل الرياض - إتجاه الرياض</v>
      </c>
      <c r="F347" t="str">
        <f t="shared" si="53"/>
        <v>VMS JEDDAH ROAD</v>
      </c>
      <c r="G347" t="str">
        <f t="shared" si="54"/>
        <v>24.620331, 46.574278</v>
      </c>
      <c r="L347">
        <v>346</v>
      </c>
      <c r="M347" s="143" t="s">
        <v>1219</v>
      </c>
      <c r="N347" s="117" t="s">
        <v>1222</v>
      </c>
      <c r="O347" s="137" t="s">
        <v>1223</v>
      </c>
      <c r="P347" s="138" t="s">
        <v>1671</v>
      </c>
      <c r="Q347" s="280" t="s">
        <v>2043</v>
      </c>
    </row>
    <row r="348" spans="1:17" ht="21">
      <c r="A348">
        <v>347</v>
      </c>
      <c r="B348" s="229" t="s">
        <v>69</v>
      </c>
      <c r="C348" s="6" t="s">
        <v>475</v>
      </c>
      <c r="E348" t="str">
        <f t="shared" si="52"/>
        <v>طريق جدة  مدخل الرياض - إتجاه الرياض</v>
      </c>
      <c r="F348" t="str">
        <f t="shared" si="53"/>
        <v>VMS JEDDAH ROAD</v>
      </c>
      <c r="G348" t="str">
        <f t="shared" si="54"/>
        <v>24.620331, 46.574278</v>
      </c>
      <c r="L348">
        <v>347</v>
      </c>
      <c r="M348" s="143" t="s">
        <v>1219</v>
      </c>
      <c r="N348" s="117" t="s">
        <v>1224</v>
      </c>
      <c r="O348" s="137" t="s">
        <v>1225</v>
      </c>
      <c r="P348" s="138" t="s">
        <v>1671</v>
      </c>
      <c r="Q348" s="280" t="s">
        <v>2044</v>
      </c>
    </row>
    <row r="349" spans="1:17" ht="21.75" thickBot="1">
      <c r="A349">
        <v>348</v>
      </c>
      <c r="B349" s="229" t="s">
        <v>69</v>
      </c>
      <c r="C349" s="6" t="s">
        <v>475</v>
      </c>
      <c r="E349" t="str">
        <f t="shared" si="52"/>
        <v>طريق جدة  مدخل الرياض - إتجاه الرياض</v>
      </c>
      <c r="F349" t="str">
        <f t="shared" si="53"/>
        <v>VMS JEDDAH ROAD</v>
      </c>
      <c r="G349" t="str">
        <f t="shared" si="54"/>
        <v>24.620331, 46.574278</v>
      </c>
      <c r="L349">
        <v>348</v>
      </c>
      <c r="M349" s="144" t="s">
        <v>1219</v>
      </c>
      <c r="N349" s="121" t="s">
        <v>1226</v>
      </c>
      <c r="O349" s="140" t="s">
        <v>1227</v>
      </c>
      <c r="P349" s="141" t="s">
        <v>1671</v>
      </c>
      <c r="Q349" s="279" t="s">
        <v>2045</v>
      </c>
    </row>
    <row r="350" spans="1:17" ht="21">
      <c r="A350">
        <v>349</v>
      </c>
      <c r="B350" s="229" t="s">
        <v>69</v>
      </c>
      <c r="C350" s="6" t="s">
        <v>354</v>
      </c>
      <c r="E350" t="str">
        <f t="shared" si="52"/>
        <v>تقاطع طريق ديراب مع طريق الإمام مسلم</v>
      </c>
      <c r="F350" t="str">
        <f t="shared" si="53"/>
        <v>U15-SB</v>
      </c>
      <c r="G350" t="str">
        <f t="shared" si="54"/>
        <v>24.606479, 46.730706</v>
      </c>
      <c r="L350">
        <v>349</v>
      </c>
      <c r="M350" s="145" t="s">
        <v>1228</v>
      </c>
      <c r="N350" s="113" t="s">
        <v>1229</v>
      </c>
      <c r="O350" s="135" t="s">
        <v>146</v>
      </c>
      <c r="P350" s="113" t="s">
        <v>95</v>
      </c>
      <c r="Q350" s="275" t="s">
        <v>2046</v>
      </c>
    </row>
    <row r="351" spans="1:17" ht="21">
      <c r="A351">
        <v>350</v>
      </c>
      <c r="B351" s="229" t="s">
        <v>69</v>
      </c>
      <c r="C351" s="6" t="s">
        <v>353</v>
      </c>
      <c r="E351" t="str">
        <f t="shared" si="52"/>
        <v>تقاطع طريق ديراب مع طريق المثنى بن حارثة</v>
      </c>
      <c r="F351" t="str">
        <f t="shared" si="53"/>
        <v>U14-NB</v>
      </c>
      <c r="G351" t="str">
        <f t="shared" si="54"/>
        <v>24.613861, 46.726861</v>
      </c>
      <c r="L351">
        <v>350</v>
      </c>
      <c r="M351" s="146" t="s">
        <v>1228</v>
      </c>
      <c r="N351" s="117" t="s">
        <v>1230</v>
      </c>
      <c r="O351" s="137" t="s">
        <v>1231</v>
      </c>
      <c r="P351" s="138" t="s">
        <v>95</v>
      </c>
      <c r="Q351" s="276" t="s">
        <v>2047</v>
      </c>
    </row>
    <row r="352" spans="1:17" ht="21">
      <c r="A352">
        <v>351</v>
      </c>
      <c r="B352" s="229" t="s">
        <v>69</v>
      </c>
      <c r="C352" s="6" t="s">
        <v>460</v>
      </c>
      <c r="E352" t="str">
        <f t="shared" si="52"/>
        <v>مخرج 26 طريق خريص - غرب</v>
      </c>
      <c r="F352" t="str">
        <f t="shared" si="53"/>
        <v>VMS EXIT 26 KHURAIS WB</v>
      </c>
      <c r="G352" t="str">
        <f t="shared" si="54"/>
        <v>24.718325, 46.768060</v>
      </c>
      <c r="L352">
        <v>351</v>
      </c>
      <c r="M352" s="146" t="s">
        <v>1228</v>
      </c>
      <c r="N352" s="117" t="s">
        <v>1232</v>
      </c>
      <c r="O352" s="137" t="s">
        <v>1233</v>
      </c>
      <c r="P352" s="138" t="s">
        <v>95</v>
      </c>
      <c r="Q352" s="281" t="s">
        <v>2048</v>
      </c>
    </row>
    <row r="353" spans="1:17" ht="21">
      <c r="A353">
        <v>352</v>
      </c>
      <c r="B353" s="225" t="s">
        <v>70</v>
      </c>
      <c r="C353" s="6" t="s">
        <v>34</v>
      </c>
      <c r="E353" t="str">
        <f>IFERROR(INDEX(M:M, MATCH(C353, P:P, 0)), "Not Found")</f>
        <v>نفق طريق الملك عبدالله مع شارع مسعود الكرماني</v>
      </c>
      <c r="F353" t="str">
        <f>IFERROR(INDEX(N:N, MATCH(C353, P:P, 0)), "Not Found")</f>
        <v>U124_Abdullah_WE1</v>
      </c>
      <c r="G353" t="str">
        <f>IFERROR(INDEX(Q:Q, MATCH(C353, P:P, 0)), "Not Found")</f>
        <v>24.762105, 46.744615</v>
      </c>
      <c r="L353">
        <v>352</v>
      </c>
      <c r="M353" s="146" t="s">
        <v>1228</v>
      </c>
      <c r="N353" s="117" t="s">
        <v>1234</v>
      </c>
      <c r="O353" s="137" t="s">
        <v>1235</v>
      </c>
      <c r="P353" s="138" t="s">
        <v>95</v>
      </c>
      <c r="Q353" s="281" t="s">
        <v>2049</v>
      </c>
    </row>
    <row r="354" spans="1:17" ht="21.75" thickBot="1">
      <c r="A354">
        <v>353</v>
      </c>
      <c r="B354" s="230" t="s">
        <v>68</v>
      </c>
      <c r="C354" s="224" t="s">
        <v>104</v>
      </c>
      <c r="E354" t="str">
        <f>IFERROR(INDEX(M:M, MATCH(C354, O:O, 0)), "Not Found")</f>
        <v>Not Found</v>
      </c>
      <c r="F354" t="str">
        <f>IFERROR(INDEX(N:N, MATCH(C354, O:O, 0)), "Not Found")</f>
        <v>Not Found</v>
      </c>
      <c r="G354" t="str">
        <f>IFERROR(INDEX(Q:Q, MATCH(C354, O:O, 0)), "Not Found")</f>
        <v>Not Found</v>
      </c>
      <c r="L354">
        <v>353</v>
      </c>
      <c r="M354" s="147" t="s">
        <v>1228</v>
      </c>
      <c r="N354" s="121" t="s">
        <v>1236</v>
      </c>
      <c r="O354" s="140" t="s">
        <v>1237</v>
      </c>
      <c r="P354" s="141" t="s">
        <v>95</v>
      </c>
      <c r="Q354" s="282" t="s">
        <v>2050</v>
      </c>
    </row>
    <row r="355" spans="1:17" ht="21">
      <c r="A355">
        <v>354</v>
      </c>
      <c r="B355" s="232" t="s">
        <v>70</v>
      </c>
      <c r="C355" s="224" t="s">
        <v>20</v>
      </c>
      <c r="E355" t="str">
        <f>IFERROR(INDEX(M:M, MATCH(C355, P:P, 0)), "Not Found")</f>
        <v>Not Found</v>
      </c>
      <c r="F355" t="str">
        <f>IFERROR(INDEX(N:N, MATCH(C355, P:P, 0)), "Not Found")</f>
        <v>Not Found</v>
      </c>
      <c r="G355" t="str">
        <f>IFERROR(INDEX(Q:Q, MATCH(C355, O:O, 0)), "Not Found")</f>
        <v>Not Found</v>
      </c>
      <c r="L355">
        <v>354</v>
      </c>
      <c r="M355" s="87" t="s">
        <v>1238</v>
      </c>
      <c r="N355" s="113" t="s">
        <v>1239</v>
      </c>
      <c r="O355" s="135" t="s">
        <v>1240</v>
      </c>
      <c r="P355" s="113" t="s">
        <v>96</v>
      </c>
      <c r="Q355" s="275" t="s">
        <v>2051</v>
      </c>
    </row>
    <row r="356" spans="1:17" ht="21">
      <c r="A356">
        <v>355</v>
      </c>
      <c r="B356" s="3" t="s">
        <v>72</v>
      </c>
      <c r="C356" s="6" t="s">
        <v>105</v>
      </c>
      <c r="E356" t="str">
        <f>IFERROR(INDEX(M:M, MATCH(C356, P:P, 0)), "Not Found")</f>
        <v>تقاطع طريق الأمير تركي بن عبد العزيز الأول مع طريق الإمام سعود بن عبدا لعزيز</v>
      </c>
      <c r="F356" t="str">
        <f>IFERROR(INDEX(N:N, MATCH(C356, P:P, 0)), "Not Found")</f>
        <v>U17-NS-2</v>
      </c>
      <c r="G356" t="str">
        <f>IFERROR(INDEX(Q:Q, MATCH(C356, P:P, 0)), "Not Found")</f>
        <v>24.734334, 46.634667</v>
      </c>
      <c r="L356">
        <v>355</v>
      </c>
      <c r="M356" s="89" t="s">
        <v>1238</v>
      </c>
      <c r="N356" s="117" t="s">
        <v>1241</v>
      </c>
      <c r="O356" s="137" t="s">
        <v>1242</v>
      </c>
      <c r="P356" s="138" t="s">
        <v>96</v>
      </c>
      <c r="Q356" s="280" t="s">
        <v>2052</v>
      </c>
    </row>
    <row r="357" spans="1:17" ht="21.75" thickBot="1">
      <c r="A357">
        <v>356</v>
      </c>
      <c r="B357" s="225" t="s">
        <v>70</v>
      </c>
      <c r="C357" s="6" t="s">
        <v>57</v>
      </c>
      <c r="E357" t="str">
        <f>IFERROR(INDEX(M:M, MATCH(C357, P:P, 0)), "Not Found")</f>
        <v xml:space="preserve">نفق  تقاطع الطريق الدائري الثاني أمام إسكان الحرس الوطني </v>
      </c>
      <c r="F357" t="str">
        <f>IFERROR(INDEX(N:N, MATCH(C357, P:P, 0)), "Not Found")</f>
        <v>NGuard_TN_1</v>
      </c>
      <c r="G357" t="str">
        <f>IFERROR(INDEX(Q:Q, MATCH(C357, P:P, 0)), "Not Found")</f>
        <v>24.678051, 46.857021</v>
      </c>
      <c r="L357">
        <v>356</v>
      </c>
      <c r="M357" s="91" t="s">
        <v>1238</v>
      </c>
      <c r="N357" s="121" t="s">
        <v>1243</v>
      </c>
      <c r="O357" s="140" t="s">
        <v>1244</v>
      </c>
      <c r="P357" s="141" t="s">
        <v>96</v>
      </c>
      <c r="Q357" s="279" t="s">
        <v>2053</v>
      </c>
    </row>
    <row r="358" spans="1:17" ht="21">
      <c r="A358">
        <v>357</v>
      </c>
      <c r="B358" s="230" t="s">
        <v>68</v>
      </c>
      <c r="C358" s="6" t="s">
        <v>159</v>
      </c>
      <c r="E358" t="str">
        <f t="shared" ref="E358:E367" si="55">IFERROR(INDEX(M:M, MATCH(C358, O:O, 0)), "Not Found")</f>
        <v>تقاطع طريق سعد بن عبد الرحمن الأول مع طريق الامام الشافعي</v>
      </c>
      <c r="F358" t="str">
        <f t="shared" ref="F358:F367" si="56">IFERROR(INDEX(N:N, MATCH(C358, O:O, 0)), "Not Found")</f>
        <v>U21-EW-1</v>
      </c>
      <c r="G358" t="str">
        <f t="shared" ref="G358:G367" si="57">IFERROR(INDEX(Q:Q, MATCH(C358, O:O, 0)), "Not Found")</f>
        <v>24.693215, 46.809979</v>
      </c>
      <c r="L358">
        <v>357</v>
      </c>
      <c r="M358" s="124" t="s">
        <v>1245</v>
      </c>
      <c r="N358" s="113" t="s">
        <v>1246</v>
      </c>
      <c r="O358" s="126" t="s">
        <v>1247</v>
      </c>
      <c r="P358" s="125" t="s">
        <v>97</v>
      </c>
      <c r="Q358" s="275" t="s">
        <v>2054</v>
      </c>
    </row>
    <row r="359" spans="1:17" ht="21">
      <c r="A359">
        <v>358</v>
      </c>
      <c r="B359" s="228" t="s">
        <v>69</v>
      </c>
      <c r="C359" s="6" t="s">
        <v>417</v>
      </c>
      <c r="E359" t="str">
        <f t="shared" si="55"/>
        <v>طريق مكة المكرمة - الأمير عبدالعزيز بن مساعد بن جلوي  شرق</v>
      </c>
      <c r="F359" t="str">
        <f t="shared" si="56"/>
        <v>VMS DABAB EB</v>
      </c>
      <c r="G359" t="str">
        <f t="shared" si="57"/>
        <v>24.740726, 46.598696</v>
      </c>
      <c r="L359">
        <v>358</v>
      </c>
      <c r="M359" s="130" t="s">
        <v>1245</v>
      </c>
      <c r="N359" s="117" t="s">
        <v>1248</v>
      </c>
      <c r="O359" s="132" t="s">
        <v>1249</v>
      </c>
      <c r="P359" s="117" t="s">
        <v>97</v>
      </c>
      <c r="Q359" s="276" t="s">
        <v>2055</v>
      </c>
    </row>
    <row r="360" spans="1:17" ht="21.75" thickBot="1">
      <c r="A360">
        <v>359</v>
      </c>
      <c r="B360" s="229" t="s">
        <v>69</v>
      </c>
      <c r="C360" s="6" t="s">
        <v>417</v>
      </c>
      <c r="E360" t="str">
        <f t="shared" si="55"/>
        <v>طريق مكة المكرمة - الأمير عبدالعزيز بن مساعد بن جلوي  شرق</v>
      </c>
      <c r="F360" t="str">
        <f t="shared" si="56"/>
        <v>VMS DABAB EB</v>
      </c>
      <c r="G360" t="str">
        <f t="shared" si="57"/>
        <v>24.740726, 46.598696</v>
      </c>
      <c r="L360">
        <v>359</v>
      </c>
      <c r="M360" s="127" t="s">
        <v>1245</v>
      </c>
      <c r="N360" s="121" t="s">
        <v>1250</v>
      </c>
      <c r="O360" s="128" t="s">
        <v>1251</v>
      </c>
      <c r="P360" s="121" t="s">
        <v>97</v>
      </c>
      <c r="Q360" s="277" t="s">
        <v>2056</v>
      </c>
    </row>
    <row r="361" spans="1:17" ht="21">
      <c r="A361">
        <v>360</v>
      </c>
      <c r="B361" s="229" t="s">
        <v>69</v>
      </c>
      <c r="C361" s="6" t="s">
        <v>417</v>
      </c>
      <c r="E361" t="str">
        <f t="shared" si="55"/>
        <v>طريق مكة المكرمة - الأمير عبدالعزيز بن مساعد بن جلوي  شرق</v>
      </c>
      <c r="F361" t="str">
        <f t="shared" si="56"/>
        <v>VMS DABAB EB</v>
      </c>
      <c r="G361" t="str">
        <f t="shared" si="57"/>
        <v>24.740726, 46.598696</v>
      </c>
      <c r="L361">
        <v>360</v>
      </c>
      <c r="M361" s="148" t="s">
        <v>1252</v>
      </c>
      <c r="N361" s="125" t="s">
        <v>1253</v>
      </c>
      <c r="O361" s="135" t="s">
        <v>1254</v>
      </c>
      <c r="P361" s="113" t="s">
        <v>53</v>
      </c>
      <c r="Q361" s="275" t="s">
        <v>2057</v>
      </c>
    </row>
    <row r="362" spans="1:17" ht="21">
      <c r="A362">
        <v>361</v>
      </c>
      <c r="B362" s="229" t="s">
        <v>69</v>
      </c>
      <c r="C362" s="6" t="s">
        <v>383</v>
      </c>
      <c r="E362" t="str">
        <f t="shared" si="55"/>
        <v>طريق الملك فهد - ميدان القاهرة  - شمال</v>
      </c>
      <c r="F362" t="str">
        <f t="shared" si="56"/>
        <v>VMS CAIRO NB</v>
      </c>
      <c r="G362" t="str">
        <f t="shared" si="57"/>
        <v xml:space="preserve"> 24.837080° -  46.639405°</v>
      </c>
      <c r="L362">
        <v>361</v>
      </c>
      <c r="M362" s="149" t="s">
        <v>1252</v>
      </c>
      <c r="N362" s="117" t="s">
        <v>1255</v>
      </c>
      <c r="O362" s="137" t="s">
        <v>1256</v>
      </c>
      <c r="P362" s="138" t="s">
        <v>53</v>
      </c>
      <c r="Q362" s="280" t="s">
        <v>2058</v>
      </c>
    </row>
    <row r="363" spans="1:17" ht="21">
      <c r="A363">
        <v>362</v>
      </c>
      <c r="B363" s="229" t="s">
        <v>69</v>
      </c>
      <c r="C363" s="6" t="s">
        <v>383</v>
      </c>
      <c r="E363" t="str">
        <f t="shared" si="55"/>
        <v>طريق الملك فهد - ميدان القاهرة  - شمال</v>
      </c>
      <c r="F363" t="str">
        <f t="shared" si="56"/>
        <v>VMS CAIRO NB</v>
      </c>
      <c r="G363" t="str">
        <f t="shared" si="57"/>
        <v xml:space="preserve"> 24.837080° -  46.639405°</v>
      </c>
      <c r="L363">
        <v>362</v>
      </c>
      <c r="M363" s="149" t="s">
        <v>1252</v>
      </c>
      <c r="N363" s="117" t="s">
        <v>1257</v>
      </c>
      <c r="O363" s="137" t="s">
        <v>1258</v>
      </c>
      <c r="P363" s="138" t="s">
        <v>53</v>
      </c>
      <c r="Q363" s="280" t="s">
        <v>2059</v>
      </c>
    </row>
    <row r="364" spans="1:17" ht="21.75" thickBot="1">
      <c r="A364">
        <v>363</v>
      </c>
      <c r="B364" s="229" t="s">
        <v>69</v>
      </c>
      <c r="C364" s="6" t="s">
        <v>383</v>
      </c>
      <c r="E364" t="str">
        <f t="shared" si="55"/>
        <v>طريق الملك فهد - ميدان القاهرة  - شمال</v>
      </c>
      <c r="F364" t="str">
        <f t="shared" si="56"/>
        <v>VMS CAIRO NB</v>
      </c>
      <c r="G364" t="str">
        <f t="shared" si="57"/>
        <v xml:space="preserve"> 24.837080° -  46.639405°</v>
      </c>
      <c r="L364">
        <v>363</v>
      </c>
      <c r="M364" s="150" t="s">
        <v>1252</v>
      </c>
      <c r="N364" s="121" t="s">
        <v>1259</v>
      </c>
      <c r="O364" s="140" t="s">
        <v>1260</v>
      </c>
      <c r="P364" s="141" t="s">
        <v>53</v>
      </c>
      <c r="Q364" s="279" t="s">
        <v>2060</v>
      </c>
    </row>
    <row r="365" spans="1:17" ht="21.75" thickBot="1">
      <c r="A365">
        <v>364</v>
      </c>
      <c r="B365" s="229" t="s">
        <v>69</v>
      </c>
      <c r="C365" s="6" t="s">
        <v>410</v>
      </c>
      <c r="E365" t="str">
        <f t="shared" si="55"/>
        <v>مخرج 1 - الدائري الشمالي - غرب</v>
      </c>
      <c r="F365" t="str">
        <f t="shared" si="56"/>
        <v>VMS EXIT 1 WB</v>
      </c>
      <c r="G365" t="str">
        <f t="shared" si="57"/>
        <v>24.804745°, 46.625249°</v>
      </c>
      <c r="L365">
        <v>364</v>
      </c>
      <c r="M365" s="151" t="s">
        <v>1261</v>
      </c>
      <c r="N365" s="152" t="s">
        <v>1262</v>
      </c>
      <c r="O365" s="153" t="s">
        <v>122</v>
      </c>
      <c r="P365" s="104" t="s">
        <v>49</v>
      </c>
      <c r="Q365" s="283" t="s">
        <v>2061</v>
      </c>
    </row>
    <row r="366" spans="1:17" ht="21">
      <c r="A366">
        <v>365</v>
      </c>
      <c r="B366" s="229" t="s">
        <v>69</v>
      </c>
      <c r="C366" s="6" t="s">
        <v>387</v>
      </c>
      <c r="E366" t="str">
        <f t="shared" si="55"/>
        <v>مخرج 10 -  الدائري الشرقي - جنوب</v>
      </c>
      <c r="F366" t="str">
        <f t="shared" si="56"/>
        <v>VMS EXIT 10 SB</v>
      </c>
      <c r="G366" t="str">
        <f t="shared" si="57"/>
        <v>24.806716°- 46.755410°</v>
      </c>
      <c r="L366">
        <v>365</v>
      </c>
      <c r="M366" s="148" t="s">
        <v>1263</v>
      </c>
      <c r="N366" s="129" t="s">
        <v>1264</v>
      </c>
      <c r="O366" s="154" t="s">
        <v>134</v>
      </c>
      <c r="P366" s="129" t="s">
        <v>8</v>
      </c>
      <c r="Q366" s="275" t="s">
        <v>2062</v>
      </c>
    </row>
    <row r="367" spans="1:17" ht="21">
      <c r="A367">
        <v>366</v>
      </c>
      <c r="B367" s="229" t="s">
        <v>69</v>
      </c>
      <c r="C367" s="6" t="s">
        <v>387</v>
      </c>
      <c r="E367" t="str">
        <f t="shared" si="55"/>
        <v>مخرج 10 -  الدائري الشرقي - جنوب</v>
      </c>
      <c r="F367" t="str">
        <f t="shared" si="56"/>
        <v>VMS EXIT 10 SB</v>
      </c>
      <c r="G367" t="str">
        <f t="shared" si="57"/>
        <v>24.806716°- 46.755410°</v>
      </c>
      <c r="L367">
        <v>366</v>
      </c>
      <c r="M367" s="149" t="s">
        <v>1263</v>
      </c>
      <c r="N367" s="131" t="s">
        <v>1265</v>
      </c>
      <c r="O367" s="155" t="s">
        <v>1266</v>
      </c>
      <c r="P367" s="131" t="s">
        <v>8</v>
      </c>
      <c r="Q367" s="280" t="s">
        <v>2063</v>
      </c>
    </row>
    <row r="368" spans="1:17" ht="21">
      <c r="A368">
        <v>367</v>
      </c>
      <c r="B368" s="225" t="s">
        <v>70</v>
      </c>
      <c r="C368" s="295" t="s">
        <v>62</v>
      </c>
      <c r="E368" t="str">
        <f>IFERROR(INDEX(M:M, MATCH(C368, P:P, 0)), "Not Found")</f>
        <v>نفق البحرية -  إمتداد الطريق الدائري الشرقي أمام مطاعم حديقة العائلة</v>
      </c>
      <c r="F368" t="str">
        <f>IFERROR(INDEX(N:N, MATCH(C368,P:P, 0)), "Not Found")</f>
        <v>Bahriya_U140_NS2</v>
      </c>
      <c r="G368" t="str">
        <f>IFERROR(INDEX(Q:Q, MATCH(C368, P:P, 0)), "Not Found")</f>
        <v>24.572164, 46.884185</v>
      </c>
      <c r="L368">
        <v>367</v>
      </c>
      <c r="M368" s="149" t="s">
        <v>1263</v>
      </c>
      <c r="N368" s="131" t="s">
        <v>1267</v>
      </c>
      <c r="O368" s="155" t="s">
        <v>1268</v>
      </c>
      <c r="P368" s="131" t="s">
        <v>8</v>
      </c>
      <c r="Q368" s="280" t="s">
        <v>2064</v>
      </c>
    </row>
    <row r="369" spans="1:17" ht="21.75" thickBot="1">
      <c r="A369">
        <v>368</v>
      </c>
      <c r="B369" s="225" t="s">
        <v>70</v>
      </c>
      <c r="C369" s="6" t="s">
        <v>42</v>
      </c>
      <c r="E369" t="str">
        <f>IFERROR(INDEX(M:M, MATCH(C369, P:P, 0)), "Not Found")</f>
        <v>نفق الصناعية -  إمتداد الطريق الدائري الشرقي أمام شركة توزيع الغاز الطبيعي</v>
      </c>
      <c r="F369" t="str">
        <f>IFERROR(INDEX(N:N, MATCH(C369, P:P, 0)), "Not Found")</f>
        <v>INDUST_TN_NS1</v>
      </c>
      <c r="G369" t="str">
        <f>IFERROR(INDEX(Q:Q, MATCH(C369, P:P, 0)), "Not Found")</f>
        <v>24.564537, 46.896057</v>
      </c>
      <c r="L369">
        <v>368</v>
      </c>
      <c r="M369" s="150" t="s">
        <v>1263</v>
      </c>
      <c r="N369" s="133" t="s">
        <v>1269</v>
      </c>
      <c r="O369" s="156" t="s">
        <v>1270</v>
      </c>
      <c r="P369" s="133" t="s">
        <v>8</v>
      </c>
      <c r="Q369" s="279" t="s">
        <v>2065</v>
      </c>
    </row>
    <row r="370" spans="1:17" ht="21">
      <c r="A370">
        <v>369</v>
      </c>
      <c r="B370" s="225" t="s">
        <v>70</v>
      </c>
      <c r="C370" s="6" t="s">
        <v>44</v>
      </c>
      <c r="E370" t="str">
        <f>IFERROR(INDEX(M:M, MATCH(C370, P:P, 0)), "Not Found")</f>
        <v>نفق  تقاطع الطريق الدائري الثاني مع شارع السلامه (خشم العان 4)</v>
      </c>
      <c r="F370" t="str">
        <f>IFERROR(INDEX(N:N, MATCH(C370, P:P, 0)), "Not Found")</f>
        <v>khashm4_u149A_1</v>
      </c>
      <c r="G370" t="str">
        <f>IFERROR(INDEX(Q:Q, MATCH(C370, P:P, 0)), "Not Found")</f>
        <v>46.855436‬‏, 24.743596</v>
      </c>
      <c r="L370">
        <v>369</v>
      </c>
      <c r="M370" s="148" t="s">
        <v>1271</v>
      </c>
      <c r="N370" s="129" t="s">
        <v>1272</v>
      </c>
      <c r="O370" s="154" t="s">
        <v>142</v>
      </c>
      <c r="P370" s="129" t="s">
        <v>1672</v>
      </c>
      <c r="Q370" s="275" t="s">
        <v>2066</v>
      </c>
    </row>
    <row r="371" spans="1:17" ht="21.75" thickBot="1">
      <c r="A371">
        <v>370</v>
      </c>
      <c r="B371" s="229" t="s">
        <v>69</v>
      </c>
      <c r="C371" s="6" t="s">
        <v>387</v>
      </c>
      <c r="E371" t="str">
        <f t="shared" ref="E371:E379" si="58">IFERROR(INDEX(M:M, MATCH(C371, O:O, 0)), "Not Found")</f>
        <v>مخرج 10 -  الدائري الشرقي - جنوب</v>
      </c>
      <c r="F371" t="str">
        <f t="shared" ref="F371:F379" si="59">IFERROR(INDEX(N:N, MATCH(C371, O:O, 0)), "Not Found")</f>
        <v>VMS EXIT 10 SB</v>
      </c>
      <c r="G371" t="str">
        <f t="shared" ref="G371:G379" si="60">IFERROR(INDEX(Q:Q, MATCH(C371, O:O, 0)), "Not Found")</f>
        <v>24.806716°- 46.755410°</v>
      </c>
      <c r="L371">
        <v>370</v>
      </c>
      <c r="M371" s="150" t="s">
        <v>1271</v>
      </c>
      <c r="N371" s="133" t="s">
        <v>1273</v>
      </c>
      <c r="O371" s="156" t="s">
        <v>1274</v>
      </c>
      <c r="P371" s="133" t="s">
        <v>1672</v>
      </c>
      <c r="Q371" s="279" t="s">
        <v>2067</v>
      </c>
    </row>
    <row r="372" spans="1:17" ht="21">
      <c r="A372">
        <v>371</v>
      </c>
      <c r="B372" s="229" t="s">
        <v>69</v>
      </c>
      <c r="C372" s="6" t="s">
        <v>387</v>
      </c>
      <c r="E372" t="str">
        <f t="shared" si="58"/>
        <v>مخرج 10 -  الدائري الشرقي - جنوب</v>
      </c>
      <c r="F372" t="str">
        <f t="shared" si="59"/>
        <v>VMS EXIT 10 SB</v>
      </c>
      <c r="G372" t="str">
        <f t="shared" si="60"/>
        <v>24.806716°- 46.755410°</v>
      </c>
      <c r="L372">
        <v>371</v>
      </c>
      <c r="M372" s="145" t="s">
        <v>1275</v>
      </c>
      <c r="N372" s="129" t="s">
        <v>1276</v>
      </c>
      <c r="O372" s="154" t="s">
        <v>1277</v>
      </c>
      <c r="P372" s="129" t="s">
        <v>1673</v>
      </c>
      <c r="Q372" s="284" t="s">
        <v>2068</v>
      </c>
    </row>
    <row r="373" spans="1:17" ht="21.75" thickBot="1">
      <c r="A373">
        <v>372</v>
      </c>
      <c r="B373" s="229" t="s">
        <v>69</v>
      </c>
      <c r="C373" s="6" t="s">
        <v>387</v>
      </c>
      <c r="E373" t="str">
        <f t="shared" si="58"/>
        <v>مخرج 10 -  الدائري الشرقي - جنوب</v>
      </c>
      <c r="F373" t="str">
        <f t="shared" si="59"/>
        <v>VMS EXIT 10 SB</v>
      </c>
      <c r="G373" t="str">
        <f t="shared" si="60"/>
        <v>24.806716°- 46.755410°</v>
      </c>
      <c r="L373">
        <v>372</v>
      </c>
      <c r="M373" s="147" t="s">
        <v>1275</v>
      </c>
      <c r="N373" s="133" t="s">
        <v>1278</v>
      </c>
      <c r="O373" s="156" t="s">
        <v>1279</v>
      </c>
      <c r="P373" s="133" t="s">
        <v>1673</v>
      </c>
      <c r="Q373" s="282" t="s">
        <v>2069</v>
      </c>
    </row>
    <row r="374" spans="1:17" ht="21.75" thickBot="1">
      <c r="A374">
        <v>373</v>
      </c>
      <c r="B374" s="229" t="s">
        <v>69</v>
      </c>
      <c r="C374" s="6" t="s">
        <v>430</v>
      </c>
      <c r="E374" t="str">
        <f t="shared" si="58"/>
        <v>الدائري الشرقي - مخرج 11 - شمال</v>
      </c>
      <c r="F374" t="str">
        <f t="shared" si="59"/>
        <v>VMS EXIT 11 NB</v>
      </c>
      <c r="G374" t="str">
        <f t="shared" si="60"/>
        <v>24.497218, 46.941622</v>
      </c>
      <c r="L374">
        <v>373</v>
      </c>
      <c r="M374" s="151" t="s">
        <v>1280</v>
      </c>
      <c r="N374" s="157" t="s">
        <v>1281</v>
      </c>
      <c r="O374" s="158" t="s">
        <v>1282</v>
      </c>
      <c r="P374" s="157" t="s">
        <v>1674</v>
      </c>
      <c r="Q374" s="285" t="s">
        <v>2070</v>
      </c>
    </row>
    <row r="375" spans="1:17" ht="21">
      <c r="A375">
        <v>374</v>
      </c>
      <c r="B375" s="229" t="s">
        <v>69</v>
      </c>
      <c r="C375" s="6" t="s">
        <v>430</v>
      </c>
      <c r="E375" t="str">
        <f t="shared" si="58"/>
        <v>الدائري الشرقي - مخرج 11 - شمال</v>
      </c>
      <c r="F375" t="str">
        <f t="shared" si="59"/>
        <v>VMS EXIT 11 NB</v>
      </c>
      <c r="G375" t="str">
        <f t="shared" si="60"/>
        <v>24.497218, 46.941622</v>
      </c>
      <c r="L375">
        <v>374</v>
      </c>
      <c r="M375" s="124" t="s">
        <v>1283</v>
      </c>
      <c r="N375" s="125" t="s">
        <v>1284</v>
      </c>
      <c r="O375" s="126" t="s">
        <v>1285</v>
      </c>
      <c r="P375" s="125" t="s">
        <v>1675</v>
      </c>
      <c r="Q375" s="278" t="s">
        <v>2071</v>
      </c>
    </row>
    <row r="376" spans="1:17" ht="21.75" thickBot="1">
      <c r="A376">
        <v>375</v>
      </c>
      <c r="B376" s="229" t="s">
        <v>69</v>
      </c>
      <c r="C376" s="6" t="s">
        <v>432</v>
      </c>
      <c r="E376" t="str">
        <f t="shared" si="58"/>
        <v xml:space="preserve">الدائري الشرقي - مخرج 13 - جنوب </v>
      </c>
      <c r="F376" t="str">
        <f t="shared" si="59"/>
        <v>VMS EXIT 13 SB</v>
      </c>
      <c r="G376" t="str">
        <f t="shared" si="60"/>
        <v>24.817556,46.714714</v>
      </c>
      <c r="L376">
        <v>375</v>
      </c>
      <c r="M376" s="127" t="s">
        <v>1283</v>
      </c>
      <c r="N376" s="121" t="s">
        <v>1286</v>
      </c>
      <c r="O376" s="128" t="s">
        <v>1287</v>
      </c>
      <c r="P376" s="121" t="s">
        <v>1675</v>
      </c>
      <c r="Q376" s="277" t="s">
        <v>2072</v>
      </c>
    </row>
    <row r="377" spans="1:17" ht="21">
      <c r="A377">
        <v>376</v>
      </c>
      <c r="B377" s="229" t="s">
        <v>69</v>
      </c>
      <c r="C377" s="6" t="s">
        <v>432</v>
      </c>
      <c r="E377" t="str">
        <f t="shared" si="58"/>
        <v xml:space="preserve">الدائري الشرقي - مخرج 13 - جنوب </v>
      </c>
      <c r="F377" t="str">
        <f t="shared" si="59"/>
        <v>VMS EXIT 13 SB</v>
      </c>
      <c r="G377" t="str">
        <f t="shared" si="60"/>
        <v>24.817556,46.714714</v>
      </c>
      <c r="L377">
        <v>376</v>
      </c>
      <c r="M377" s="124" t="s">
        <v>1288</v>
      </c>
      <c r="N377" s="113" t="s">
        <v>1289</v>
      </c>
      <c r="O377" s="126" t="s">
        <v>173</v>
      </c>
      <c r="P377" s="125" t="s">
        <v>34</v>
      </c>
      <c r="Q377" s="275" t="s">
        <v>2073</v>
      </c>
    </row>
    <row r="378" spans="1:17" ht="21">
      <c r="A378">
        <v>377</v>
      </c>
      <c r="B378" s="229" t="s">
        <v>69</v>
      </c>
      <c r="C378" s="6" t="s">
        <v>439</v>
      </c>
      <c r="E378" t="str">
        <f t="shared" si="58"/>
        <v>الدائري الشرقي - مخرج 14 - جنوب</v>
      </c>
      <c r="F378" t="str">
        <f t="shared" si="59"/>
        <v>VMS EXIT 14 SB</v>
      </c>
      <c r="G378" t="str">
        <f t="shared" si="60"/>
        <v>24.671426° -  46.780755°</v>
      </c>
      <c r="L378">
        <v>377</v>
      </c>
      <c r="M378" s="130" t="s">
        <v>1288</v>
      </c>
      <c r="N378" s="117" t="s">
        <v>1290</v>
      </c>
      <c r="O378" s="132" t="s">
        <v>174</v>
      </c>
      <c r="P378" s="117" t="s">
        <v>34</v>
      </c>
      <c r="Q378" s="276" t="s">
        <v>2074</v>
      </c>
    </row>
    <row r="379" spans="1:17" ht="21.75" thickBot="1">
      <c r="A379">
        <v>378</v>
      </c>
      <c r="B379" s="229" t="s">
        <v>69</v>
      </c>
      <c r="C379" s="6" t="s">
        <v>437</v>
      </c>
      <c r="E379" t="str">
        <f t="shared" si="58"/>
        <v>الدائري الشرقي - مخرج 15 - شمال</v>
      </c>
      <c r="F379" t="str">
        <f t="shared" si="59"/>
        <v>VMS EXIT 15 NB</v>
      </c>
      <c r="G379" t="str">
        <f t="shared" si="60"/>
        <v xml:space="preserve"> 24.724495° -  46.756547°</v>
      </c>
      <c r="L379">
        <v>378</v>
      </c>
      <c r="M379" s="127" t="s">
        <v>1288</v>
      </c>
      <c r="N379" s="121" t="s">
        <v>1291</v>
      </c>
      <c r="O379" s="128" t="s">
        <v>1292</v>
      </c>
      <c r="P379" s="121" t="s">
        <v>34</v>
      </c>
      <c r="Q379" s="277" t="s">
        <v>2075</v>
      </c>
    </row>
    <row r="380" spans="1:17" ht="21">
      <c r="A380">
        <v>379</v>
      </c>
      <c r="B380" s="227" t="s">
        <v>70</v>
      </c>
      <c r="C380" s="292" t="s">
        <v>101</v>
      </c>
      <c r="E380" t="str">
        <f>IFERROR(INDEX(M:M, MATCH(C380, P:P, 0)), "Not Found")</f>
        <v>نفق تقاطع طريق مكة المكرمة مع طريق الملك خالد الفرعي</v>
      </c>
      <c r="F380" t="str">
        <f>IFERROR(INDEX(N:N, MATCH(C380,P:P, 0)), "Not Found")</f>
        <v>MAK_KHLD_TN_WE2</v>
      </c>
      <c r="G380" t="str">
        <f>IFERROR(INDEX(Q:Q, MATCH(C380, P:P, 0)), "Not Found")</f>
        <v>24.675319, 46.653369</v>
      </c>
      <c r="L380">
        <v>379</v>
      </c>
      <c r="M380" s="124" t="s">
        <v>1293</v>
      </c>
      <c r="N380" s="125" t="s">
        <v>1294</v>
      </c>
      <c r="O380" s="126" t="s">
        <v>1295</v>
      </c>
      <c r="P380" s="125" t="s">
        <v>1676</v>
      </c>
      <c r="Q380" s="278" t="s">
        <v>2076</v>
      </c>
    </row>
    <row r="381" spans="1:17" ht="21.75" thickBot="1">
      <c r="A381">
        <v>380</v>
      </c>
      <c r="B381" s="227" t="s">
        <v>70</v>
      </c>
      <c r="C381" s="6" t="s">
        <v>63</v>
      </c>
      <c r="E381" t="str">
        <f>IFERROR(INDEX(M:M, MATCH(C381, P:P, 0)), "Not Found")</f>
        <v xml:space="preserve">نفق أكاديمية التدريب طريق خريص </v>
      </c>
      <c r="F381" t="str">
        <f>IFERROR(INDEX(N:N, MATCH(C381, P:P, 0)), "Not Found")</f>
        <v>TADREEB_U137_WE</v>
      </c>
      <c r="G381" t="str">
        <f>IFERROR(INDEX(Q:Q, MATCH(C381, P:P, 0)), "Not Found")</f>
        <v>24.777366, 46.850730</v>
      </c>
      <c r="L381">
        <v>380</v>
      </c>
      <c r="M381" s="127" t="s">
        <v>1293</v>
      </c>
      <c r="N381" s="121" t="s">
        <v>1296</v>
      </c>
      <c r="O381" s="128" t="s">
        <v>1297</v>
      </c>
      <c r="P381" s="121" t="s">
        <v>1676</v>
      </c>
      <c r="Q381" s="277" t="s">
        <v>2077</v>
      </c>
    </row>
    <row r="382" spans="1:17" ht="21">
      <c r="A382">
        <v>381</v>
      </c>
      <c r="B382" s="227" t="s">
        <v>70</v>
      </c>
      <c r="C382" s="6" t="s">
        <v>44</v>
      </c>
      <c r="E382" t="str">
        <f>IFERROR(INDEX(M:M, MATCH(C382, P:P, 0)), "Not Found")</f>
        <v>نفق  تقاطع الطريق الدائري الثاني مع شارع السلامه (خشم العان 4)</v>
      </c>
      <c r="F382" t="str">
        <f>IFERROR(INDEX(N:N, MATCH(C382, P:P, 0)), "Not Found")</f>
        <v>khashm4_u149A_1</v>
      </c>
      <c r="G382" t="str">
        <f>IFERROR(INDEX(Q:Q, MATCH(C382, P:P, 0)), "Not Found")</f>
        <v>46.855436‬‏, 24.743596</v>
      </c>
      <c r="L382">
        <v>381</v>
      </c>
      <c r="M382" s="148" t="s">
        <v>1298</v>
      </c>
      <c r="N382" s="129" t="s">
        <v>1299</v>
      </c>
      <c r="O382" s="135" t="s">
        <v>1300</v>
      </c>
      <c r="P382" s="113" t="s">
        <v>98</v>
      </c>
      <c r="Q382" s="275" t="s">
        <v>2078</v>
      </c>
    </row>
    <row r="383" spans="1:17" ht="21">
      <c r="A383">
        <v>382</v>
      </c>
      <c r="B383" s="230" t="s">
        <v>68</v>
      </c>
      <c r="C383" s="6" t="s">
        <v>162</v>
      </c>
      <c r="E383" t="str">
        <f>IFERROR(INDEX(M:M, MATCH(C383, O:O, 0)), "Not Found")</f>
        <v>نفق  تقاطع الطريق الدائري الثاني مع شارع السلامه (خشم العان 4)</v>
      </c>
      <c r="F383" t="str">
        <f>IFERROR(INDEX(N:N, MATCH(C383, O:O, 0)), "Not Found")</f>
        <v>khashm4_u149A_1</v>
      </c>
      <c r="G383" t="str">
        <f t="shared" ref="G383:G412" si="61">IFERROR(INDEX(Q:Q, MATCH(C383, O:O, 0)), "Not Found")</f>
        <v>46.855436‬‏, 24.743596</v>
      </c>
      <c r="L383">
        <v>382</v>
      </c>
      <c r="M383" s="149" t="s">
        <v>1298</v>
      </c>
      <c r="N383" s="117" t="s">
        <v>1301</v>
      </c>
      <c r="O383" s="137" t="s">
        <v>1302</v>
      </c>
      <c r="P383" s="138" t="s">
        <v>98</v>
      </c>
      <c r="Q383" s="276" t="s">
        <v>2079</v>
      </c>
    </row>
    <row r="384" spans="1:17" ht="21">
      <c r="A384">
        <v>383</v>
      </c>
      <c r="B384" s="231" t="s">
        <v>68</v>
      </c>
      <c r="C384" s="6" t="s">
        <v>165</v>
      </c>
      <c r="E384" t="str">
        <f>IFERROR(INDEX(M:M, MATCH(C384, O:O, 0)), "Not Found")</f>
        <v xml:space="preserve">تقاطع شارع السويدي العام مع شارع عبد الملك بن هاشم </v>
      </c>
      <c r="F384" t="str">
        <f>IFERROR(INDEX(N:N, MATCH(C384, O:O, 0)), "Not Found")</f>
        <v>u9-ew-2</v>
      </c>
      <c r="G384" t="str">
        <f t="shared" si="61"/>
        <v>24.590330, 46.672734</v>
      </c>
      <c r="L384">
        <v>383</v>
      </c>
      <c r="M384" s="149" t="s">
        <v>1298</v>
      </c>
      <c r="N384" s="117" t="s">
        <v>1303</v>
      </c>
      <c r="O384" s="137" t="s">
        <v>1304</v>
      </c>
      <c r="P384" s="138" t="s">
        <v>98</v>
      </c>
      <c r="Q384" s="276" t="s">
        <v>2080</v>
      </c>
    </row>
    <row r="385" spans="1:17" ht="21">
      <c r="A385">
        <v>384</v>
      </c>
      <c r="B385" s="231" t="s">
        <v>68</v>
      </c>
      <c r="C385" s="6" t="s">
        <v>129</v>
      </c>
      <c r="E385" t="str">
        <f>IFERROR(INDEX(M:M, MATCH(C385, O:O, 0)), "Not Found")</f>
        <v>تقاطع طريق الأمير تركي بن عبد العزيز الأول مع طريق الإمام سعود بن عبدا لعزيز</v>
      </c>
      <c r="F385" t="str">
        <f>IFERROR(INDEX(N:N, MATCH(C385, O:O, 0)), "Not Found")</f>
        <v>U17-NS-2</v>
      </c>
      <c r="G385" t="str">
        <f t="shared" si="61"/>
        <v>24.734334, 46.634667</v>
      </c>
      <c r="L385">
        <v>384</v>
      </c>
      <c r="M385" s="149" t="s">
        <v>1298</v>
      </c>
      <c r="N385" s="117" t="s">
        <v>1305</v>
      </c>
      <c r="O385" s="137" t="s">
        <v>1306</v>
      </c>
      <c r="P385" s="138" t="s">
        <v>98</v>
      </c>
      <c r="Q385" s="276" t="s">
        <v>2081</v>
      </c>
    </row>
    <row r="386" spans="1:17" ht="21.75" thickBot="1">
      <c r="A386">
        <v>385</v>
      </c>
      <c r="B386" s="232" t="s">
        <v>70</v>
      </c>
      <c r="C386" s="224" t="s">
        <v>20</v>
      </c>
      <c r="E386" t="str">
        <f>IFERROR(INDEX(M:M, MATCH(C386, P:P, 0)), "Not Found")</f>
        <v>Not Found</v>
      </c>
      <c r="F386" t="str">
        <f>IFERROR(INDEX(N:N, MATCH(C386, P:P, 0)), "Not Found")</f>
        <v>Not Found</v>
      </c>
      <c r="G386" t="str">
        <f t="shared" si="61"/>
        <v>Not Found</v>
      </c>
      <c r="L386">
        <v>385</v>
      </c>
      <c r="M386" s="150" t="s">
        <v>1298</v>
      </c>
      <c r="N386" s="121" t="s">
        <v>1307</v>
      </c>
      <c r="O386" s="140" t="s">
        <v>1308</v>
      </c>
      <c r="P386" s="141" t="s">
        <v>2236</v>
      </c>
      <c r="Q386" s="277" t="s">
        <v>2082</v>
      </c>
    </row>
    <row r="387" spans="1:17" ht="21">
      <c r="A387">
        <v>386</v>
      </c>
      <c r="B387" s="230" t="s">
        <v>68</v>
      </c>
      <c r="C387" s="6" t="s">
        <v>158</v>
      </c>
      <c r="E387" t="str">
        <f t="shared" ref="E387:E412" si="62">IFERROR(INDEX(M:M, MATCH(C387, O:O, 0)), "Not Found")</f>
        <v xml:space="preserve">تقاطع طريق المدينة المنورة مع علي بن أبي طالب </v>
      </c>
      <c r="F387" t="str">
        <f t="shared" ref="F387:F412" si="63">IFERROR(INDEX(N:N, MATCH(C387, O:O, 0)), "Not Found")</f>
        <v>u7-1-we2</v>
      </c>
      <c r="G387" t="str">
        <f t="shared" si="61"/>
        <v>24.640486, 46.759851</v>
      </c>
      <c r="L387">
        <v>386</v>
      </c>
      <c r="M387" s="148" t="s">
        <v>1309</v>
      </c>
      <c r="N387" s="113" t="s">
        <v>1310</v>
      </c>
      <c r="O387" s="126" t="s">
        <v>1311</v>
      </c>
      <c r="P387" s="125" t="s">
        <v>22</v>
      </c>
      <c r="Q387" s="275" t="s">
        <v>2083</v>
      </c>
    </row>
    <row r="388" spans="1:17" ht="21.75" thickBot="1">
      <c r="A388">
        <v>387</v>
      </c>
      <c r="B388" s="231" t="s">
        <v>68</v>
      </c>
      <c r="C388" s="6" t="s">
        <v>158</v>
      </c>
      <c r="E388" t="str">
        <f t="shared" si="62"/>
        <v xml:space="preserve">تقاطع طريق المدينة المنورة مع علي بن أبي طالب </v>
      </c>
      <c r="F388" t="str">
        <f t="shared" si="63"/>
        <v>u7-1-we2</v>
      </c>
      <c r="G388" t="str">
        <f t="shared" si="61"/>
        <v>24.640486, 46.759851</v>
      </c>
      <c r="L388">
        <v>387</v>
      </c>
      <c r="M388" s="150" t="s">
        <v>1309</v>
      </c>
      <c r="N388" s="141" t="s">
        <v>1312</v>
      </c>
      <c r="O388" s="128" t="s">
        <v>1313</v>
      </c>
      <c r="P388" s="121" t="s">
        <v>22</v>
      </c>
      <c r="Q388" s="277" t="s">
        <v>2084</v>
      </c>
    </row>
    <row r="389" spans="1:17" ht="21.75" thickBot="1">
      <c r="A389">
        <v>388</v>
      </c>
      <c r="B389" s="231" t="s">
        <v>68</v>
      </c>
      <c r="C389" s="6" t="s">
        <v>131</v>
      </c>
      <c r="E389" t="str">
        <f t="shared" si="62"/>
        <v>طريق الأمير فيصل بن بندر بن عبد العزيز مع طريق الثمامة</v>
      </c>
      <c r="F389" t="str">
        <f t="shared" si="63"/>
        <v>U25_IN</v>
      </c>
      <c r="G389" t="str">
        <f t="shared" si="61"/>
        <v>24.819923, 46.700036</v>
      </c>
      <c r="L389">
        <v>388</v>
      </c>
      <c r="M389" s="151" t="s">
        <v>1314</v>
      </c>
      <c r="N389" s="157" t="s">
        <v>1315</v>
      </c>
      <c r="O389" s="158" t="s">
        <v>121</v>
      </c>
      <c r="P389" s="157" t="s">
        <v>27</v>
      </c>
      <c r="Q389" s="285" t="s">
        <v>2085</v>
      </c>
    </row>
    <row r="390" spans="1:17" ht="20.25">
      <c r="A390">
        <v>389</v>
      </c>
      <c r="B390" s="231" t="s">
        <v>68</v>
      </c>
      <c r="C390" s="6" t="s">
        <v>157</v>
      </c>
      <c r="E390" t="str">
        <f t="shared" si="62"/>
        <v>تقاطع طريق الأمير عبد العزيز بن مساعد بن جلوي مع شارع المعذر</v>
      </c>
      <c r="F390" t="str">
        <f t="shared" si="63"/>
        <v>U1-SN-1</v>
      </c>
      <c r="G390" t="str">
        <f t="shared" si="61"/>
        <v>246751933,46.7035789</v>
      </c>
      <c r="L390">
        <v>389</v>
      </c>
      <c r="M390" s="159" t="s">
        <v>1316</v>
      </c>
      <c r="N390" s="76" t="s">
        <v>1317</v>
      </c>
      <c r="O390" s="160" t="s">
        <v>171</v>
      </c>
      <c r="P390" s="161" t="s">
        <v>15</v>
      </c>
      <c r="Q390" s="251" t="s">
        <v>2086</v>
      </c>
    </row>
    <row r="391" spans="1:17" ht="20.25">
      <c r="A391">
        <v>390</v>
      </c>
      <c r="B391" s="231" t="s">
        <v>68</v>
      </c>
      <c r="C391" s="6" t="s">
        <v>145</v>
      </c>
      <c r="E391" t="str">
        <f t="shared" si="62"/>
        <v xml:space="preserve">طريق أبو عبيدة بن الجراح - بعد تقاطعه مع الدائري الشرقي باتجاه الشرق </v>
      </c>
      <c r="F391" t="str">
        <f t="shared" si="63"/>
        <v>U12-ew2</v>
      </c>
      <c r="G391" t="str">
        <f t="shared" si="61"/>
        <v>24.667533, 46.796880</v>
      </c>
      <c r="L391">
        <v>390</v>
      </c>
      <c r="M391" s="162" t="s">
        <v>1316</v>
      </c>
      <c r="N391" s="80" t="s">
        <v>1318</v>
      </c>
      <c r="O391" s="163" t="s">
        <v>1319</v>
      </c>
      <c r="P391" s="164" t="s">
        <v>15</v>
      </c>
      <c r="Q391" s="252" t="s">
        <v>2087</v>
      </c>
    </row>
    <row r="392" spans="1:17" ht="20.25">
      <c r="A392">
        <v>391</v>
      </c>
      <c r="B392" s="228" t="s">
        <v>69</v>
      </c>
      <c r="C392" s="6" t="s">
        <v>437</v>
      </c>
      <c r="E392" t="str">
        <f t="shared" si="62"/>
        <v>الدائري الشرقي - مخرج 15 - شمال</v>
      </c>
      <c r="F392" t="str">
        <f t="shared" si="63"/>
        <v>VMS EXIT 15 NB</v>
      </c>
      <c r="G392" t="str">
        <f t="shared" si="61"/>
        <v xml:space="preserve"> 24.724495° -  46.756547°</v>
      </c>
      <c r="L392">
        <v>391</v>
      </c>
      <c r="M392" s="162" t="s">
        <v>1316</v>
      </c>
      <c r="N392" s="80" t="s">
        <v>1320</v>
      </c>
      <c r="O392" s="163" t="s">
        <v>1321</v>
      </c>
      <c r="P392" s="164" t="s">
        <v>15</v>
      </c>
      <c r="Q392" s="252" t="s">
        <v>2088</v>
      </c>
    </row>
    <row r="393" spans="1:17" ht="21" thickBot="1">
      <c r="A393">
        <v>392</v>
      </c>
      <c r="B393" s="229" t="s">
        <v>69</v>
      </c>
      <c r="C393" s="6" t="s">
        <v>480</v>
      </c>
      <c r="E393" t="str">
        <f t="shared" si="62"/>
        <v>طريق الدائري الشرقي مخرج 17 - شمال</v>
      </c>
      <c r="F393" t="str">
        <f t="shared" si="63"/>
        <v>VMS EXIT 17 NB</v>
      </c>
      <c r="G393" t="str">
        <f t="shared" si="61"/>
        <v>24.649746, 46.794912</v>
      </c>
      <c r="L393">
        <v>392</v>
      </c>
      <c r="M393" s="165" t="s">
        <v>1316</v>
      </c>
      <c r="N393" s="84" t="s">
        <v>1322</v>
      </c>
      <c r="O393" s="166" t="s">
        <v>1323</v>
      </c>
      <c r="P393" s="167" t="s">
        <v>15</v>
      </c>
      <c r="Q393" s="254" t="s">
        <v>2089</v>
      </c>
    </row>
    <row r="394" spans="1:17" ht="20.25">
      <c r="A394">
        <v>393</v>
      </c>
      <c r="B394" s="229" t="s">
        <v>69</v>
      </c>
      <c r="C394" s="6" t="s">
        <v>480</v>
      </c>
      <c r="E394" t="str">
        <f t="shared" si="62"/>
        <v>طريق الدائري الشرقي مخرج 17 - شمال</v>
      </c>
      <c r="F394" t="str">
        <f t="shared" si="63"/>
        <v>VMS EXIT 17 NB</v>
      </c>
      <c r="G394" t="str">
        <f t="shared" si="61"/>
        <v>24.649746, 46.794912</v>
      </c>
      <c r="L394">
        <v>393</v>
      </c>
      <c r="M394" s="168" t="s">
        <v>1324</v>
      </c>
      <c r="N394" s="76" t="s">
        <v>1325</v>
      </c>
      <c r="O394" s="160" t="s">
        <v>112</v>
      </c>
      <c r="P394" s="161" t="s">
        <v>2</v>
      </c>
      <c r="Q394" s="251" t="s">
        <v>2090</v>
      </c>
    </row>
    <row r="395" spans="1:17" ht="21" thickBot="1">
      <c r="A395">
        <v>394</v>
      </c>
      <c r="B395" s="229" t="s">
        <v>69</v>
      </c>
      <c r="C395" s="6" t="s">
        <v>450</v>
      </c>
      <c r="E395" t="str">
        <f t="shared" si="62"/>
        <v>مخرج 19 - الطريق الدائري الجنوبي - غرب</v>
      </c>
      <c r="F395" t="str">
        <f t="shared" si="63"/>
        <v>VMS EXIT 19 SB</v>
      </c>
      <c r="G395" t="str">
        <f t="shared" si="61"/>
        <v>24.706469, 46.748997</v>
      </c>
      <c r="L395">
        <v>394</v>
      </c>
      <c r="M395" s="169" t="s">
        <v>1324</v>
      </c>
      <c r="N395" s="84" t="s">
        <v>1326</v>
      </c>
      <c r="O395" s="166" t="s">
        <v>1327</v>
      </c>
      <c r="P395" s="167" t="s">
        <v>2</v>
      </c>
      <c r="Q395" s="254" t="s">
        <v>2091</v>
      </c>
    </row>
    <row r="396" spans="1:17" ht="20.25">
      <c r="A396">
        <v>395</v>
      </c>
      <c r="B396" s="229" t="s">
        <v>69</v>
      </c>
      <c r="C396" s="6" t="s">
        <v>450</v>
      </c>
      <c r="E396" t="str">
        <f t="shared" si="62"/>
        <v>مخرج 19 - الطريق الدائري الجنوبي - غرب</v>
      </c>
      <c r="F396" t="str">
        <f t="shared" si="63"/>
        <v>VMS EXIT 19 SB</v>
      </c>
      <c r="G396" t="str">
        <f t="shared" si="61"/>
        <v>24.706469, 46.748997</v>
      </c>
      <c r="L396">
        <v>395</v>
      </c>
      <c r="M396" s="170" t="s">
        <v>1328</v>
      </c>
      <c r="N396" s="95" t="s">
        <v>1329</v>
      </c>
      <c r="O396" s="171" t="s">
        <v>107</v>
      </c>
      <c r="P396" s="172" t="s">
        <v>13</v>
      </c>
      <c r="Q396" s="266" t="s">
        <v>2092</v>
      </c>
    </row>
    <row r="397" spans="1:17" ht="20.25">
      <c r="A397">
        <v>396</v>
      </c>
      <c r="B397" s="229" t="s">
        <v>69</v>
      </c>
      <c r="C397" s="6" t="s">
        <v>450</v>
      </c>
      <c r="E397" t="str">
        <f t="shared" si="62"/>
        <v>مخرج 19 - الطريق الدائري الجنوبي - غرب</v>
      </c>
      <c r="F397" t="str">
        <f t="shared" si="63"/>
        <v>VMS EXIT 19 SB</v>
      </c>
      <c r="G397" t="str">
        <f t="shared" si="61"/>
        <v>24.706469, 46.748997</v>
      </c>
      <c r="L397">
        <v>396</v>
      </c>
      <c r="M397" s="173" t="s">
        <v>1328</v>
      </c>
      <c r="N397" s="98" t="s">
        <v>1330</v>
      </c>
      <c r="O397" s="174" t="s">
        <v>1331</v>
      </c>
      <c r="P397" s="175" t="s">
        <v>13</v>
      </c>
      <c r="Q397" s="264" t="s">
        <v>2093</v>
      </c>
    </row>
    <row r="398" spans="1:17" ht="20.25">
      <c r="A398">
        <v>397</v>
      </c>
      <c r="B398" s="229" t="s">
        <v>69</v>
      </c>
      <c r="C398" s="6" t="s">
        <v>450</v>
      </c>
      <c r="E398" t="str">
        <f t="shared" si="62"/>
        <v>مخرج 19 - الطريق الدائري الجنوبي - غرب</v>
      </c>
      <c r="F398" t="str">
        <f t="shared" si="63"/>
        <v>VMS EXIT 19 SB</v>
      </c>
      <c r="G398" t="str">
        <f t="shared" si="61"/>
        <v>24.706469, 46.748997</v>
      </c>
      <c r="L398">
        <v>397</v>
      </c>
      <c r="M398" s="173" t="s">
        <v>1328</v>
      </c>
      <c r="N398" s="98" t="s">
        <v>1332</v>
      </c>
      <c r="O398" s="174" t="s">
        <v>1333</v>
      </c>
      <c r="P398" s="175" t="s">
        <v>13</v>
      </c>
      <c r="Q398" s="264" t="s">
        <v>2094</v>
      </c>
    </row>
    <row r="399" spans="1:17" ht="21" thickBot="1">
      <c r="A399">
        <v>398</v>
      </c>
      <c r="B399" s="229" t="s">
        <v>69</v>
      </c>
      <c r="C399" s="6" t="s">
        <v>450</v>
      </c>
      <c r="E399" t="str">
        <f t="shared" si="62"/>
        <v>مخرج 19 - الطريق الدائري الجنوبي - غرب</v>
      </c>
      <c r="F399" t="str">
        <f t="shared" si="63"/>
        <v>VMS EXIT 19 SB</v>
      </c>
      <c r="G399" t="str">
        <f t="shared" si="61"/>
        <v>24.706469, 46.748997</v>
      </c>
      <c r="L399">
        <v>398</v>
      </c>
      <c r="M399" s="176" t="s">
        <v>1328</v>
      </c>
      <c r="N399" s="101" t="s">
        <v>1334</v>
      </c>
      <c r="O399" s="177" t="s">
        <v>1335</v>
      </c>
      <c r="P399" s="178" t="s">
        <v>13</v>
      </c>
      <c r="Q399" s="265" t="s">
        <v>2095</v>
      </c>
    </row>
    <row r="400" spans="1:17" ht="20.25">
      <c r="A400">
        <v>399</v>
      </c>
      <c r="B400" s="229" t="s">
        <v>69</v>
      </c>
      <c r="C400" s="6" t="s">
        <v>460</v>
      </c>
      <c r="E400" t="str">
        <f t="shared" si="62"/>
        <v>مخرج 26 طريق خريص - غرب</v>
      </c>
      <c r="F400" t="str">
        <f t="shared" si="63"/>
        <v>VMS EXIT 26 KHURAIS WB</v>
      </c>
      <c r="G400" t="str">
        <f t="shared" si="61"/>
        <v>24.718325, 46.768060</v>
      </c>
      <c r="L400">
        <v>399</v>
      </c>
      <c r="M400" s="179" t="s">
        <v>1336</v>
      </c>
      <c r="N400" s="76" t="s">
        <v>1337</v>
      </c>
      <c r="O400" s="160" t="s">
        <v>1338</v>
      </c>
      <c r="P400" s="161" t="s">
        <v>1677</v>
      </c>
      <c r="Q400" s="251" t="s">
        <v>2096</v>
      </c>
    </row>
    <row r="401" spans="1:17" ht="20.25">
      <c r="A401">
        <v>400</v>
      </c>
      <c r="B401" s="229" t="s">
        <v>69</v>
      </c>
      <c r="C401" s="6" t="s">
        <v>460</v>
      </c>
      <c r="E401" t="str">
        <f t="shared" si="62"/>
        <v>مخرج 26 طريق خريص - غرب</v>
      </c>
      <c r="F401" t="str">
        <f t="shared" si="63"/>
        <v>VMS EXIT 26 KHURAIS WB</v>
      </c>
      <c r="G401" t="str">
        <f t="shared" si="61"/>
        <v>24.718325, 46.768060</v>
      </c>
      <c r="L401">
        <v>400</v>
      </c>
      <c r="M401" s="180" t="s">
        <v>1336</v>
      </c>
      <c r="N401" s="80" t="s">
        <v>1339</v>
      </c>
      <c r="O401" s="163" t="s">
        <v>1340</v>
      </c>
      <c r="P401" s="164" t="s">
        <v>1677</v>
      </c>
      <c r="Q401" s="252" t="s">
        <v>2097</v>
      </c>
    </row>
    <row r="402" spans="1:17" ht="20.25">
      <c r="A402">
        <v>401</v>
      </c>
      <c r="B402" s="229" t="s">
        <v>69</v>
      </c>
      <c r="C402" s="6" t="s">
        <v>462</v>
      </c>
      <c r="E402" t="str">
        <f t="shared" si="62"/>
        <v>مخرج 28 طريق خريص - شرق</v>
      </c>
      <c r="F402" t="str">
        <f t="shared" si="63"/>
        <v>VMS EXIT 28 KHURAIS EB</v>
      </c>
      <c r="G402" t="str">
        <f t="shared" si="61"/>
        <v>24.733016, 46.791378</v>
      </c>
      <c r="L402">
        <v>401</v>
      </c>
      <c r="M402" s="180" t="s">
        <v>1336</v>
      </c>
      <c r="N402" s="80" t="s">
        <v>1341</v>
      </c>
      <c r="O402" s="163" t="s">
        <v>1342</v>
      </c>
      <c r="P402" s="164" t="s">
        <v>1677</v>
      </c>
      <c r="Q402" s="252" t="s">
        <v>2098</v>
      </c>
    </row>
    <row r="403" spans="1:17" ht="21" thickBot="1">
      <c r="A403">
        <v>402</v>
      </c>
      <c r="B403" s="229" t="s">
        <v>69</v>
      </c>
      <c r="C403" s="6" t="s">
        <v>393</v>
      </c>
      <c r="E403" t="str">
        <f t="shared" si="62"/>
        <v>مخرج 3 - الدائري الشمالي - شرق</v>
      </c>
      <c r="F403" t="str">
        <f t="shared" si="63"/>
        <v>VMS EXIT 3 EB</v>
      </c>
      <c r="G403" t="str">
        <f t="shared" si="61"/>
        <v>24.780737° - 46.728531°</v>
      </c>
      <c r="L403">
        <v>402</v>
      </c>
      <c r="M403" s="181" t="s">
        <v>1336</v>
      </c>
      <c r="N403" s="84" t="s">
        <v>1343</v>
      </c>
      <c r="O403" s="166" t="s">
        <v>1344</v>
      </c>
      <c r="P403" s="167" t="s">
        <v>1677</v>
      </c>
      <c r="Q403" s="254" t="s">
        <v>2099</v>
      </c>
    </row>
    <row r="404" spans="1:17" ht="20.25">
      <c r="A404">
        <v>403</v>
      </c>
      <c r="B404" s="229" t="s">
        <v>69</v>
      </c>
      <c r="C404" s="6" t="s">
        <v>393</v>
      </c>
      <c r="E404" t="str">
        <f t="shared" si="62"/>
        <v>مخرج 3 - الدائري الشمالي - شرق</v>
      </c>
      <c r="F404" t="str">
        <f t="shared" si="63"/>
        <v>VMS EXIT 3 EB</v>
      </c>
      <c r="G404" t="str">
        <f t="shared" si="61"/>
        <v>24.780737° - 46.728531°</v>
      </c>
      <c r="L404">
        <v>403</v>
      </c>
      <c r="M404" s="179" t="s">
        <v>1345</v>
      </c>
      <c r="N404" s="76" t="s">
        <v>1346</v>
      </c>
      <c r="O404" s="160" t="s">
        <v>138</v>
      </c>
      <c r="P404" s="161" t="s">
        <v>26</v>
      </c>
      <c r="Q404" s="251" t="s">
        <v>2100</v>
      </c>
    </row>
    <row r="405" spans="1:17" ht="20.25">
      <c r="A405">
        <v>404</v>
      </c>
      <c r="B405" s="229" t="s">
        <v>69</v>
      </c>
      <c r="C405" s="6" t="s">
        <v>393</v>
      </c>
      <c r="E405" t="str">
        <f t="shared" si="62"/>
        <v>مخرج 3 - الدائري الشمالي - شرق</v>
      </c>
      <c r="F405" t="str">
        <f t="shared" si="63"/>
        <v>VMS EXIT 3 EB</v>
      </c>
      <c r="G405" t="str">
        <f t="shared" si="61"/>
        <v>24.780737° - 46.728531°</v>
      </c>
      <c r="L405">
        <v>404</v>
      </c>
      <c r="M405" s="180" t="s">
        <v>1345</v>
      </c>
      <c r="N405" s="80" t="s">
        <v>1347</v>
      </c>
      <c r="O405" s="163" t="s">
        <v>1348</v>
      </c>
      <c r="P405" s="164" t="s">
        <v>26</v>
      </c>
      <c r="Q405" s="252" t="s">
        <v>2101</v>
      </c>
    </row>
    <row r="406" spans="1:17" ht="20.25">
      <c r="A406">
        <v>405</v>
      </c>
      <c r="B406" s="229" t="s">
        <v>69</v>
      </c>
      <c r="C406" s="6" t="s">
        <v>393</v>
      </c>
      <c r="E406" t="str">
        <f t="shared" si="62"/>
        <v>مخرج 3 - الدائري الشمالي - شرق</v>
      </c>
      <c r="F406" t="str">
        <f t="shared" si="63"/>
        <v>VMS EXIT 3 EB</v>
      </c>
      <c r="G406" t="str">
        <f t="shared" si="61"/>
        <v>24.780737° - 46.728531°</v>
      </c>
      <c r="L406">
        <v>405</v>
      </c>
      <c r="M406" s="180" t="s">
        <v>1345</v>
      </c>
      <c r="N406" s="80" t="s">
        <v>1349</v>
      </c>
      <c r="O406" s="163" t="s">
        <v>1350</v>
      </c>
      <c r="P406" s="164" t="s">
        <v>26</v>
      </c>
      <c r="Q406" s="252" t="s">
        <v>2102</v>
      </c>
    </row>
    <row r="407" spans="1:17" ht="21" thickBot="1">
      <c r="A407">
        <v>406</v>
      </c>
      <c r="B407" s="229" t="s">
        <v>69</v>
      </c>
      <c r="C407" s="6" t="s">
        <v>441</v>
      </c>
      <c r="E407" t="str">
        <f t="shared" si="62"/>
        <v>مخرج 30 طريق خريص - غرب</v>
      </c>
      <c r="F407" t="str">
        <f t="shared" si="63"/>
        <v>VMS EXIT 30 KHURAIS WB</v>
      </c>
      <c r="G407" t="str">
        <f t="shared" si="61"/>
        <v xml:space="preserve"> 24.671610° -  46.781102°</v>
      </c>
      <c r="L407">
        <v>406</v>
      </c>
      <c r="M407" s="181" t="s">
        <v>1345</v>
      </c>
      <c r="N407" s="84" t="s">
        <v>1351</v>
      </c>
      <c r="O407" s="166" t="s">
        <v>1352</v>
      </c>
      <c r="P407" s="167" t="s">
        <v>26</v>
      </c>
      <c r="Q407" s="254" t="s">
        <v>2103</v>
      </c>
    </row>
    <row r="408" spans="1:17" ht="20.25">
      <c r="A408">
        <v>407</v>
      </c>
      <c r="B408" s="229" t="s">
        <v>69</v>
      </c>
      <c r="C408" s="6" t="s">
        <v>441</v>
      </c>
      <c r="E408" t="str">
        <f t="shared" si="62"/>
        <v>مخرج 30 طريق خريص - غرب</v>
      </c>
      <c r="F408" t="str">
        <f t="shared" si="63"/>
        <v>VMS EXIT 30 KHURAIS WB</v>
      </c>
      <c r="G408" t="str">
        <f t="shared" si="61"/>
        <v xml:space="preserve"> 24.671610° -  46.781102°</v>
      </c>
      <c r="L408">
        <v>407</v>
      </c>
      <c r="M408" s="159" t="s">
        <v>1353</v>
      </c>
      <c r="N408" s="76" t="s">
        <v>1354</v>
      </c>
      <c r="O408" s="160" t="s">
        <v>1355</v>
      </c>
      <c r="P408" s="161" t="s">
        <v>29</v>
      </c>
      <c r="Q408" s="286" t="s">
        <v>2104</v>
      </c>
    </row>
    <row r="409" spans="1:17" ht="20.25">
      <c r="A409">
        <v>408</v>
      </c>
      <c r="B409" s="229" t="s">
        <v>69</v>
      </c>
      <c r="C409" s="6" t="s">
        <v>441</v>
      </c>
      <c r="E409" t="str">
        <f t="shared" si="62"/>
        <v>مخرج 30 طريق خريص - غرب</v>
      </c>
      <c r="F409" t="str">
        <f t="shared" si="63"/>
        <v>VMS EXIT 30 KHURAIS WB</v>
      </c>
      <c r="G409" t="str">
        <f t="shared" si="61"/>
        <v xml:space="preserve"> 24.671610° -  46.781102°</v>
      </c>
      <c r="L409">
        <v>408</v>
      </c>
      <c r="M409" s="162" t="s">
        <v>1353</v>
      </c>
      <c r="N409" s="80" t="s">
        <v>1356</v>
      </c>
      <c r="O409" s="163" t="s">
        <v>1357</v>
      </c>
      <c r="P409" s="164" t="s">
        <v>29</v>
      </c>
      <c r="Q409" s="287" t="s">
        <v>2105</v>
      </c>
    </row>
    <row r="410" spans="1:17" ht="20.25">
      <c r="A410">
        <v>409</v>
      </c>
      <c r="B410" s="229" t="s">
        <v>69</v>
      </c>
      <c r="C410" s="6" t="s">
        <v>408</v>
      </c>
      <c r="E410" t="str">
        <f t="shared" si="62"/>
        <v>مخرج 4 - الدائري الشمالي - غرب</v>
      </c>
      <c r="F410" t="str">
        <f t="shared" si="63"/>
        <v>VMS EXIT 4 WB</v>
      </c>
      <c r="G410" t="str">
        <f t="shared" si="61"/>
        <v>24.784500°, 46.635444°</v>
      </c>
      <c r="L410">
        <v>409</v>
      </c>
      <c r="M410" s="162" t="s">
        <v>1353</v>
      </c>
      <c r="N410" s="80" t="s">
        <v>1358</v>
      </c>
      <c r="O410" s="163" t="s">
        <v>1359</v>
      </c>
      <c r="P410" s="164" t="s">
        <v>29</v>
      </c>
      <c r="Q410" s="287" t="s">
        <v>2106</v>
      </c>
    </row>
    <row r="411" spans="1:17" ht="21" thickBot="1">
      <c r="A411">
        <v>410</v>
      </c>
      <c r="B411" s="230" t="s">
        <v>68</v>
      </c>
      <c r="C411" s="6" t="s">
        <v>111</v>
      </c>
      <c r="E411" t="str">
        <f t="shared" si="62"/>
        <v>عمود مخرج 13 - الدائري الشرقي - شمال (1)</v>
      </c>
      <c r="F411" t="str">
        <f t="shared" si="63"/>
        <v>EXIT13-POLE-N-1</v>
      </c>
      <c r="G411" t="str">
        <f t="shared" si="61"/>
        <v>24.714580, 46.762316</v>
      </c>
      <c r="L411">
        <v>410</v>
      </c>
      <c r="M411" s="165" t="s">
        <v>1353</v>
      </c>
      <c r="N411" s="84" t="s">
        <v>1360</v>
      </c>
      <c r="O411" s="166" t="s">
        <v>1361</v>
      </c>
      <c r="P411" s="167" t="s">
        <v>29</v>
      </c>
      <c r="Q411" s="254" t="s">
        <v>2107</v>
      </c>
    </row>
    <row r="412" spans="1:17" ht="20.25">
      <c r="A412">
        <v>411</v>
      </c>
      <c r="B412" s="231" t="s">
        <v>68</v>
      </c>
      <c r="C412" s="6" t="s">
        <v>143</v>
      </c>
      <c r="E412" t="str">
        <f t="shared" si="62"/>
        <v>الدائري الشرقي الفرعي مخرج 14 جنوب</v>
      </c>
      <c r="F412" t="str">
        <f t="shared" si="63"/>
        <v>EXIT14-S</v>
      </c>
      <c r="G412" t="str">
        <f t="shared" si="61"/>
        <v>24.693355, 46.773648</v>
      </c>
      <c r="L412">
        <v>411</v>
      </c>
      <c r="M412" s="179" t="s">
        <v>1362</v>
      </c>
      <c r="N412" s="76" t="s">
        <v>1363</v>
      </c>
      <c r="O412" s="160" t="s">
        <v>137</v>
      </c>
      <c r="P412" s="161" t="s">
        <v>1678</v>
      </c>
      <c r="Q412" s="251" t="s">
        <v>2108</v>
      </c>
    </row>
    <row r="413" spans="1:17" ht="20.25">
      <c r="A413">
        <v>412</v>
      </c>
      <c r="B413" s="232" t="s">
        <v>70</v>
      </c>
      <c r="C413" s="6" t="s">
        <v>49</v>
      </c>
      <c r="E413" t="str">
        <f>IFERROR(INDEX(M:M, MATCH(C413, P:P, 0)), "Not Found")</f>
        <v>نفق بطريق مكة المكرمة بجوار وزارة الحرس الوطني</v>
      </c>
      <c r="F413" t="str">
        <f>IFERROR(INDEX(N:N, MATCH(C413, P:P, 0)), "Not Found")</f>
        <v>NGuard_TN_EW</v>
      </c>
      <c r="G413" t="str">
        <f>IFERROR(INDEX(Q:Q, MATCH(C413, P:P, 0)), "Not Found")</f>
        <v>24.710882, 46.755708</v>
      </c>
      <c r="L413">
        <v>412</v>
      </c>
      <c r="M413" s="180" t="s">
        <v>1362</v>
      </c>
      <c r="N413" s="80" t="s">
        <v>1364</v>
      </c>
      <c r="O413" s="163" t="s">
        <v>1365</v>
      </c>
      <c r="P413" s="164" t="s">
        <v>1678</v>
      </c>
      <c r="Q413" s="288" t="s">
        <v>2109</v>
      </c>
    </row>
    <row r="414" spans="1:17" ht="20.25">
      <c r="A414">
        <v>413</v>
      </c>
      <c r="B414" s="230" t="s">
        <v>68</v>
      </c>
      <c r="C414" s="224" t="s">
        <v>104</v>
      </c>
      <c r="E414" t="str">
        <f>IFERROR(INDEX(M:M, MATCH(C414, O:O, 0)), "Not Found")</f>
        <v>Not Found</v>
      </c>
      <c r="F414" t="str">
        <f>IFERROR(INDEX(N:N, MATCH(C414, O:O, 0)), "Not Found")</f>
        <v>Not Found</v>
      </c>
      <c r="G414" t="str">
        <f>IFERROR(INDEX(Q:Q, MATCH(C414, O:O, 0)), "Not Found")</f>
        <v>Not Found</v>
      </c>
      <c r="L414">
        <v>413</v>
      </c>
      <c r="M414" s="180" t="s">
        <v>1362</v>
      </c>
      <c r="N414" s="80" t="s">
        <v>1366</v>
      </c>
      <c r="O414" s="163" t="s">
        <v>1367</v>
      </c>
      <c r="P414" s="164" t="s">
        <v>1678</v>
      </c>
      <c r="Q414" s="252" t="s">
        <v>2110</v>
      </c>
    </row>
    <row r="415" spans="1:17" ht="21" thickBot="1">
      <c r="A415">
        <v>414</v>
      </c>
      <c r="B415" s="231" t="s">
        <v>68</v>
      </c>
      <c r="C415" s="6" t="s">
        <v>164</v>
      </c>
      <c r="E415" t="str">
        <f>IFERROR(INDEX(M:M, MATCH(C415, O:O, 0)), "Not Found")</f>
        <v>تقاطع طريق الأمير تركي بن عبد العزيز الأول مع  شارع موسى بن نصير</v>
      </c>
      <c r="F415" t="str">
        <f>IFERROR(INDEX(N:N, MATCH(C415, O:O, 0)), "Not Found")</f>
        <v>U23_SN-1</v>
      </c>
      <c r="G415" t="str">
        <f>IFERROR(INDEX(Q:Q, MATCH(C415, O:O, 0)), "Not Found")</f>
        <v>24.694055, 46.659417</v>
      </c>
      <c r="L415">
        <v>414</v>
      </c>
      <c r="M415" s="181" t="s">
        <v>1362</v>
      </c>
      <c r="N415" s="84" t="s">
        <v>1368</v>
      </c>
      <c r="O415" s="166" t="s">
        <v>1369</v>
      </c>
      <c r="P415" s="167" t="s">
        <v>1678</v>
      </c>
      <c r="Q415" s="254" t="s">
        <v>2111</v>
      </c>
    </row>
    <row r="416" spans="1:17" ht="20.25">
      <c r="A416">
        <v>415</v>
      </c>
      <c r="B416" s="231" t="s">
        <v>68</v>
      </c>
      <c r="C416" s="6" t="s">
        <v>159</v>
      </c>
      <c r="E416" t="str">
        <f>IFERROR(INDEX(M:M, MATCH(C416, O:O, 0)), "Not Found")</f>
        <v>تقاطع طريق سعد بن عبد الرحمن الأول مع طريق الامام الشافعي</v>
      </c>
      <c r="F416" t="str">
        <f>IFERROR(INDEX(N:N, MATCH(C416, O:O, 0)), "Not Found")</f>
        <v>U21-EW-1</v>
      </c>
      <c r="G416" t="str">
        <f>IFERROR(INDEX(Q:Q, MATCH(C416, O:O, 0)), "Not Found")</f>
        <v>24.693215, 46.809979</v>
      </c>
      <c r="L416">
        <v>415</v>
      </c>
      <c r="M416" s="179" t="s">
        <v>1370</v>
      </c>
      <c r="N416" s="76" t="s">
        <v>1371</v>
      </c>
      <c r="O416" s="160" t="s">
        <v>1372</v>
      </c>
      <c r="P416" s="161" t="s">
        <v>18</v>
      </c>
      <c r="Q416" s="251" t="s">
        <v>2112</v>
      </c>
    </row>
    <row r="417" spans="1:17" ht="20.25">
      <c r="A417">
        <v>416</v>
      </c>
      <c r="B417" s="231" t="s">
        <v>68</v>
      </c>
      <c r="C417" s="6" t="s">
        <v>127</v>
      </c>
      <c r="E417" t="str">
        <f>IFERROR(INDEX(M:M, MATCH(C417, O:O, 0)), "Not Found")</f>
        <v>تقاطع طريق الإمام سعود مع طريق أبي بكر الصديق</v>
      </c>
      <c r="F417" t="str">
        <f>IFERROR(INDEX(N:N, MATCH(C417, O:O, 0)), "Not Found")</f>
        <v>U13-G-EW</v>
      </c>
      <c r="G417" t="str">
        <f>IFERROR(INDEX(Q:Q, MATCH(C417, O:O, 0)), "Not Found")</f>
        <v>24.762225, 46.697203</v>
      </c>
      <c r="L417">
        <v>416</v>
      </c>
      <c r="M417" s="180" t="s">
        <v>1370</v>
      </c>
      <c r="N417" s="80" t="s">
        <v>1373</v>
      </c>
      <c r="O417" s="163" t="s">
        <v>1374</v>
      </c>
      <c r="P417" s="164" t="s">
        <v>18</v>
      </c>
      <c r="Q417" s="252" t="s">
        <v>2113</v>
      </c>
    </row>
    <row r="418" spans="1:17" ht="20.25">
      <c r="A418">
        <v>417</v>
      </c>
      <c r="B418" s="231" t="s">
        <v>68</v>
      </c>
      <c r="C418" s="6" t="s">
        <v>129</v>
      </c>
      <c r="E418" t="str">
        <f>IFERROR(INDEX(M:M, MATCH(C418, O:O, 0)), "Not Found")</f>
        <v>تقاطع طريق الأمير تركي بن عبد العزيز الأول مع طريق الإمام سعود بن عبدا لعزيز</v>
      </c>
      <c r="F418" t="str">
        <f>IFERROR(INDEX(N:N, MATCH(C418, O:O, 0)), "Not Found")</f>
        <v>U17-NS-2</v>
      </c>
      <c r="G418" t="str">
        <f>IFERROR(INDEX(Q:Q, MATCH(C418, O:O, 0)), "Not Found")</f>
        <v>24.734334, 46.634667</v>
      </c>
      <c r="L418">
        <v>417</v>
      </c>
      <c r="M418" s="180" t="s">
        <v>1370</v>
      </c>
      <c r="N418" s="80" t="s">
        <v>1375</v>
      </c>
      <c r="O418" s="163" t="s">
        <v>1376</v>
      </c>
      <c r="P418" s="164" t="s">
        <v>18</v>
      </c>
      <c r="Q418" s="252" t="s">
        <v>2114</v>
      </c>
    </row>
    <row r="419" spans="1:17" ht="21" thickBot="1">
      <c r="A419">
        <v>418</v>
      </c>
      <c r="B419" s="226" t="s">
        <v>70</v>
      </c>
      <c r="C419" s="6" t="s">
        <v>61</v>
      </c>
      <c r="E419" t="str">
        <f>IFERROR(INDEX(M:M, MATCH(C419, P:P, 0)), "Not Found")</f>
        <v>تقاطع اسكان رقم 2 مع امتداد الطريق الدائرى الشرقى</v>
      </c>
      <c r="F419" t="str">
        <f>IFERROR(INDEX(N:N, MATCH(C419, P:P, 0)), "Not Found")</f>
        <v>Iskan2_TN_1</v>
      </c>
      <c r="G419" t="str">
        <f>IFERROR(INDEX(Q:Q, MATCH(C419, P:P, 0)), "Not Found")</f>
        <v>24.5859507, 46.8688405</v>
      </c>
      <c r="L419">
        <v>418</v>
      </c>
      <c r="M419" s="181" t="s">
        <v>1370</v>
      </c>
      <c r="N419" s="84" t="s">
        <v>1377</v>
      </c>
      <c r="O419" s="166" t="s">
        <v>1378</v>
      </c>
      <c r="P419" s="167" t="s">
        <v>18</v>
      </c>
      <c r="Q419" s="254" t="s">
        <v>2115</v>
      </c>
    </row>
    <row r="420" spans="1:17" ht="20.25">
      <c r="A420">
        <v>419</v>
      </c>
      <c r="B420" s="229" t="s">
        <v>69</v>
      </c>
      <c r="C420" s="6" t="s">
        <v>391</v>
      </c>
      <c r="E420" t="str">
        <f t="shared" ref="E420:E430" si="64">IFERROR(INDEX(M:M, MATCH(C420, O:O, 0)), "Not Found")</f>
        <v>مخرج 8 - الدائري الشمالي - شرق</v>
      </c>
      <c r="F420" t="str">
        <f t="shared" ref="F420:F430" si="65">IFERROR(INDEX(N:N, MATCH(C420, O:O, 0)), "Not Found")</f>
        <v>VMS EXIT 8 EB</v>
      </c>
      <c r="G420" t="str">
        <f t="shared" ref="G420:G432" si="66">IFERROR(INDEX(Q:Q, MATCH(C420, O:O, 0)), "Not Found")</f>
        <v>24.675503, 46.690609</v>
      </c>
      <c r="L420">
        <v>419</v>
      </c>
      <c r="M420" s="179" t="s">
        <v>1379</v>
      </c>
      <c r="N420" s="76" t="s">
        <v>1380</v>
      </c>
      <c r="O420" s="160" t="s">
        <v>172</v>
      </c>
      <c r="P420" s="161" t="s">
        <v>1679</v>
      </c>
      <c r="Q420" s="251" t="s">
        <v>2116</v>
      </c>
    </row>
    <row r="421" spans="1:17" ht="20.25">
      <c r="A421">
        <v>420</v>
      </c>
      <c r="B421" s="229" t="s">
        <v>69</v>
      </c>
      <c r="C421" s="6" t="s">
        <v>385</v>
      </c>
      <c r="E421" t="str">
        <f t="shared" si="64"/>
        <v>مخرج 8 -  الدائري الشرقي - شمال</v>
      </c>
      <c r="F421" t="str">
        <f t="shared" si="65"/>
        <v>VMS EXIT 8 NB</v>
      </c>
      <c r="G421" t="str">
        <f t="shared" si="66"/>
        <v>24.850373° -  46.670314°</v>
      </c>
      <c r="L421">
        <v>420</v>
      </c>
      <c r="M421" s="180" t="s">
        <v>1379</v>
      </c>
      <c r="N421" s="80" t="s">
        <v>1381</v>
      </c>
      <c r="O421" s="163" t="s">
        <v>1382</v>
      </c>
      <c r="P421" s="164" t="s">
        <v>1679</v>
      </c>
      <c r="Q421" s="252" t="s">
        <v>2117</v>
      </c>
    </row>
    <row r="422" spans="1:17" ht="20.25">
      <c r="A422">
        <v>421</v>
      </c>
      <c r="B422" s="229" t="s">
        <v>69</v>
      </c>
      <c r="C422" s="6" t="s">
        <v>385</v>
      </c>
      <c r="E422" t="str">
        <f t="shared" si="64"/>
        <v>مخرج 8 -  الدائري الشرقي - شمال</v>
      </c>
      <c r="F422" t="str">
        <f t="shared" si="65"/>
        <v>VMS EXIT 8 NB</v>
      </c>
      <c r="G422" t="str">
        <f t="shared" si="66"/>
        <v>24.850373° -  46.670314°</v>
      </c>
      <c r="L422">
        <v>421</v>
      </c>
      <c r="M422" s="180" t="s">
        <v>1379</v>
      </c>
      <c r="N422" s="80" t="s">
        <v>1383</v>
      </c>
      <c r="O422" s="163" t="s">
        <v>1384</v>
      </c>
      <c r="P422" s="164" t="s">
        <v>1679</v>
      </c>
      <c r="Q422" s="252" t="s">
        <v>2118</v>
      </c>
    </row>
    <row r="423" spans="1:17" ht="21" thickBot="1">
      <c r="A423">
        <v>422</v>
      </c>
      <c r="B423" s="229" t="s">
        <v>69</v>
      </c>
      <c r="C423" s="6" t="s">
        <v>385</v>
      </c>
      <c r="E423" t="str">
        <f t="shared" si="64"/>
        <v>مخرج 8 -  الدائري الشرقي - شمال</v>
      </c>
      <c r="F423" t="str">
        <f t="shared" si="65"/>
        <v>VMS EXIT 8 NB</v>
      </c>
      <c r="G423" t="str">
        <f t="shared" si="66"/>
        <v>24.850373° -  46.670314°</v>
      </c>
      <c r="L423">
        <v>422</v>
      </c>
      <c r="M423" s="181" t="s">
        <v>1379</v>
      </c>
      <c r="N423" s="84" t="s">
        <v>1385</v>
      </c>
      <c r="O423" s="166" t="s">
        <v>1386</v>
      </c>
      <c r="P423" s="167" t="s">
        <v>1679</v>
      </c>
      <c r="Q423" s="254" t="s">
        <v>2119</v>
      </c>
    </row>
    <row r="424" spans="1:17" ht="20.25">
      <c r="A424">
        <v>423</v>
      </c>
      <c r="B424" s="229" t="s">
        <v>69</v>
      </c>
      <c r="C424" s="6" t="s">
        <v>415</v>
      </c>
      <c r="E424" t="str">
        <f t="shared" si="64"/>
        <v>طريق مكة المكرمة - الملك خالد الفرعي - غرب</v>
      </c>
      <c r="F424" t="str">
        <f t="shared" si="65"/>
        <v>VMS DEWAN WB</v>
      </c>
      <c r="G424" t="str">
        <f t="shared" si="66"/>
        <v>24.764906, 46.656119</v>
      </c>
      <c r="L424">
        <v>423</v>
      </c>
      <c r="M424" s="179" t="s">
        <v>1387</v>
      </c>
      <c r="N424" s="76" t="s">
        <v>1388</v>
      </c>
      <c r="O424" s="160" t="s">
        <v>1389</v>
      </c>
      <c r="P424" s="161" t="s">
        <v>43</v>
      </c>
      <c r="Q424" s="251" t="s">
        <v>2120</v>
      </c>
    </row>
    <row r="425" spans="1:17" ht="20.25">
      <c r="A425">
        <v>424</v>
      </c>
      <c r="B425" s="229" t="s">
        <v>69</v>
      </c>
      <c r="C425" s="6" t="s">
        <v>389</v>
      </c>
      <c r="E425" t="str">
        <f t="shared" si="64"/>
        <v>طريق الملك فهد - ميدان القاهرة - جنوب</v>
      </c>
      <c r="F425" t="str">
        <f t="shared" si="65"/>
        <v>VMS CAIRO SB</v>
      </c>
      <c r="G425" t="str">
        <f t="shared" si="66"/>
        <v>24.784449, 46.635307</v>
      </c>
      <c r="L425">
        <v>424</v>
      </c>
      <c r="M425" s="180" t="s">
        <v>1387</v>
      </c>
      <c r="N425" s="80" t="s">
        <v>1390</v>
      </c>
      <c r="O425" s="163" t="s">
        <v>1391</v>
      </c>
      <c r="P425" s="164" t="s">
        <v>43</v>
      </c>
      <c r="Q425" s="252" t="s">
        <v>2121</v>
      </c>
    </row>
    <row r="426" spans="1:17" ht="20.25">
      <c r="A426">
        <v>425</v>
      </c>
      <c r="B426" s="229" t="s">
        <v>69</v>
      </c>
      <c r="C426" s="6" t="s">
        <v>389</v>
      </c>
      <c r="E426" t="str">
        <f t="shared" si="64"/>
        <v>طريق الملك فهد - ميدان القاهرة - جنوب</v>
      </c>
      <c r="F426" t="str">
        <f t="shared" si="65"/>
        <v>VMS CAIRO SB</v>
      </c>
      <c r="G426" t="str">
        <f t="shared" si="66"/>
        <v>24.784449, 46.635307</v>
      </c>
      <c r="L426">
        <v>425</v>
      </c>
      <c r="M426" s="180" t="s">
        <v>1387</v>
      </c>
      <c r="N426" s="80" t="s">
        <v>1392</v>
      </c>
      <c r="O426" s="163" t="s">
        <v>1393</v>
      </c>
      <c r="P426" s="164" t="s">
        <v>43</v>
      </c>
      <c r="Q426" s="252" t="s">
        <v>2122</v>
      </c>
    </row>
    <row r="427" spans="1:17" ht="21" thickBot="1">
      <c r="A427">
        <v>426</v>
      </c>
      <c r="B427" s="229" t="s">
        <v>69</v>
      </c>
      <c r="C427" s="6" t="s">
        <v>389</v>
      </c>
      <c r="E427" t="str">
        <f t="shared" si="64"/>
        <v>طريق الملك فهد - ميدان القاهرة - جنوب</v>
      </c>
      <c r="F427" t="str">
        <f t="shared" si="65"/>
        <v>VMS CAIRO SB</v>
      </c>
      <c r="G427" t="str">
        <f t="shared" si="66"/>
        <v>24.784449, 46.635307</v>
      </c>
      <c r="L427">
        <v>426</v>
      </c>
      <c r="M427" s="181" t="s">
        <v>1387</v>
      </c>
      <c r="N427" s="84" t="s">
        <v>1394</v>
      </c>
      <c r="O427" s="166" t="s">
        <v>1395</v>
      </c>
      <c r="P427" s="167" t="s">
        <v>43</v>
      </c>
      <c r="Q427" s="254" t="s">
        <v>2123</v>
      </c>
    </row>
    <row r="428" spans="1:17" ht="20.25">
      <c r="A428">
        <v>427</v>
      </c>
      <c r="B428" s="229" t="s">
        <v>69</v>
      </c>
      <c r="C428" s="6" t="s">
        <v>389</v>
      </c>
      <c r="E428" t="str">
        <f t="shared" si="64"/>
        <v>طريق الملك فهد - ميدان القاهرة - جنوب</v>
      </c>
      <c r="F428" t="str">
        <f t="shared" si="65"/>
        <v>VMS CAIRO SB</v>
      </c>
      <c r="G428" t="str">
        <f t="shared" si="66"/>
        <v>24.784449, 46.635307</v>
      </c>
      <c r="L428">
        <v>427</v>
      </c>
      <c r="M428" s="170" t="s">
        <v>1396</v>
      </c>
      <c r="N428" s="95" t="s">
        <v>1397</v>
      </c>
      <c r="O428" s="171" t="s">
        <v>163</v>
      </c>
      <c r="P428" s="172" t="s">
        <v>7</v>
      </c>
      <c r="Q428" s="266" t="s">
        <v>2124</v>
      </c>
    </row>
    <row r="429" spans="1:17" ht="20.25">
      <c r="A429">
        <v>428</v>
      </c>
      <c r="B429" s="229" t="s">
        <v>69</v>
      </c>
      <c r="C429" s="6" t="s">
        <v>473</v>
      </c>
      <c r="E429" t="str">
        <f t="shared" si="64"/>
        <v xml:space="preserve"> طريق مكة المكرمة - ميدان القاهرة - شرق</v>
      </c>
      <c r="F429" t="str">
        <f t="shared" si="65"/>
        <v>VMS CAIRO EB</v>
      </c>
      <c r="G429" t="str">
        <f t="shared" si="66"/>
        <v>24.679229, 46.687872</v>
      </c>
      <c r="L429">
        <v>428</v>
      </c>
      <c r="M429" s="173" t="s">
        <v>1396</v>
      </c>
      <c r="N429" s="98" t="s">
        <v>1398</v>
      </c>
      <c r="O429" s="174" t="s">
        <v>1399</v>
      </c>
      <c r="P429" s="175" t="s">
        <v>7</v>
      </c>
      <c r="Q429" s="264" t="s">
        <v>2124</v>
      </c>
    </row>
    <row r="430" spans="1:17" ht="20.25">
      <c r="A430">
        <v>429</v>
      </c>
      <c r="B430" s="229" t="s">
        <v>69</v>
      </c>
      <c r="C430" s="6" t="s">
        <v>473</v>
      </c>
      <c r="E430" t="str">
        <f t="shared" si="64"/>
        <v xml:space="preserve"> طريق مكة المكرمة - ميدان القاهرة - شرق</v>
      </c>
      <c r="F430" t="str">
        <f t="shared" si="65"/>
        <v>VMS CAIRO EB</v>
      </c>
      <c r="G430" t="str">
        <f t="shared" si="66"/>
        <v>24.679229, 46.687872</v>
      </c>
      <c r="L430">
        <v>429</v>
      </c>
      <c r="M430" s="173" t="s">
        <v>1396</v>
      </c>
      <c r="N430" s="98" t="s">
        <v>1400</v>
      </c>
      <c r="O430" s="174" t="s">
        <v>1401</v>
      </c>
      <c r="P430" s="175" t="s">
        <v>7</v>
      </c>
      <c r="Q430" s="264" t="s">
        <v>2124</v>
      </c>
    </row>
    <row r="431" spans="1:17" ht="21" thickBot="1">
      <c r="A431">
        <v>430</v>
      </c>
      <c r="B431" s="229" t="s">
        <v>69</v>
      </c>
      <c r="C431" s="224" t="s">
        <v>17</v>
      </c>
      <c r="E431" t="str">
        <f>IFERROR(INDEX(M:M, MATCH(C431, N:N, 0)), "Not Found")</f>
        <v>Not Found</v>
      </c>
      <c r="F431" t="str">
        <f>IFERROR(INDEX(O:O, MATCH(C431, N:N, 0)), "Not Found")</f>
        <v>Not Found</v>
      </c>
      <c r="G431" t="str">
        <f t="shared" si="66"/>
        <v>Not Found</v>
      </c>
      <c r="L431">
        <v>430</v>
      </c>
      <c r="M431" s="176" t="s">
        <v>1396</v>
      </c>
      <c r="N431" s="101" t="s">
        <v>1402</v>
      </c>
      <c r="O431" s="177" t="s">
        <v>1403</v>
      </c>
      <c r="P431" s="178" t="s">
        <v>7</v>
      </c>
      <c r="Q431" s="265" t="s">
        <v>2124</v>
      </c>
    </row>
    <row r="432" spans="1:17" ht="21" thickBot="1">
      <c r="A432">
        <v>431</v>
      </c>
      <c r="B432" s="229" t="s">
        <v>69</v>
      </c>
      <c r="C432" s="6" t="s">
        <v>448</v>
      </c>
      <c r="E432" t="str">
        <f>IFERROR(INDEX(M:M, MATCH(C432, O:O, 0)), "Not Found")</f>
        <v>طريق خريص - الحرس الوطني - شرق</v>
      </c>
      <c r="F432" t="str">
        <f>IFERROR(INDEX(N:N, MATCH(C432, O:O, 0)), "Not Found")</f>
        <v>VMS NATIONAL GUARD EB</v>
      </c>
      <c r="G432" t="str">
        <f t="shared" si="66"/>
        <v xml:space="preserve"> 24.773150° -  46.835167°</v>
      </c>
      <c r="L432">
        <v>431</v>
      </c>
      <c r="M432" s="182" t="s">
        <v>1404</v>
      </c>
      <c r="N432" s="104" t="s">
        <v>1405</v>
      </c>
      <c r="O432" s="183" t="s">
        <v>1406</v>
      </c>
      <c r="P432" s="184" t="s">
        <v>63</v>
      </c>
      <c r="Q432" s="283" t="s">
        <v>2125</v>
      </c>
    </row>
    <row r="433" spans="1:17" ht="21" thickBot="1">
      <c r="A433">
        <v>432</v>
      </c>
      <c r="B433" s="225" t="s">
        <v>70</v>
      </c>
      <c r="C433" s="6" t="s">
        <v>57</v>
      </c>
      <c r="E433" t="str">
        <f t="shared" ref="E433:E445" si="67">IFERROR(INDEX(M:M, MATCH(C433, P:P, 0)), "Not Found")</f>
        <v xml:space="preserve">نفق  تقاطع الطريق الدائري الثاني أمام إسكان الحرس الوطني </v>
      </c>
      <c r="F433" t="str">
        <f>IFERROR(INDEX(N:N, MATCH(C433, P:P, 0)), "Not Found")</f>
        <v>NGuard_TN_1</v>
      </c>
      <c r="G433" t="str">
        <f t="shared" ref="G433:G439" si="68">IFERROR(INDEX(Q:Q, MATCH(C433, P:P, 0)), "Not Found")</f>
        <v>24.678051, 46.857021</v>
      </c>
      <c r="L433">
        <v>432</v>
      </c>
      <c r="M433" s="182" t="s">
        <v>1407</v>
      </c>
      <c r="N433" s="104" t="s">
        <v>1408</v>
      </c>
      <c r="O433" s="183" t="s">
        <v>1409</v>
      </c>
      <c r="P433" s="184" t="s">
        <v>99</v>
      </c>
      <c r="Q433" s="289" t="s">
        <v>2126</v>
      </c>
    </row>
    <row r="434" spans="1:17" ht="20.25">
      <c r="A434">
        <v>433</v>
      </c>
      <c r="B434" s="225" t="s">
        <v>70</v>
      </c>
      <c r="C434" s="6" t="s">
        <v>56</v>
      </c>
      <c r="E434" t="str">
        <f t="shared" si="67"/>
        <v>نفق تقاطع الطريق الدائري الثاني مع طريق أبوعبيدة بن الجراح (خشم العان2)</v>
      </c>
      <c r="F434" t="str">
        <f>IFERROR(INDEX(N:N, MATCH(C434, P:P, 0)), "Not Found")</f>
        <v>Khashm2_TN_1</v>
      </c>
      <c r="G434" t="str">
        <f t="shared" si="68"/>
        <v>24.6916830,46.8561393</v>
      </c>
      <c r="L434">
        <v>433</v>
      </c>
      <c r="M434" s="170" t="s">
        <v>1410</v>
      </c>
      <c r="N434" s="95" t="s">
        <v>1411</v>
      </c>
      <c r="O434" s="171" t="s">
        <v>178</v>
      </c>
      <c r="P434" s="172" t="s">
        <v>14</v>
      </c>
      <c r="Q434" s="266" t="s">
        <v>2127</v>
      </c>
    </row>
    <row r="435" spans="1:17" ht="20.25">
      <c r="A435">
        <v>434</v>
      </c>
      <c r="B435" s="225" t="s">
        <v>70</v>
      </c>
      <c r="C435" s="6" t="s">
        <v>24</v>
      </c>
      <c r="E435" t="str">
        <f t="shared" si="67"/>
        <v>الطريق الدائري الثاني مع علي العريني (خشم العان 3)</v>
      </c>
      <c r="F435" t="str">
        <f>IFERROR(INDEX(N:N, MATCH(C435, P:P, 0)), "Not Found")</f>
        <v>Khashm3_TN_1</v>
      </c>
      <c r="G435" t="str">
        <f t="shared" si="68"/>
        <v>24.7495041  ,46.8510571</v>
      </c>
      <c r="L435">
        <v>434</v>
      </c>
      <c r="M435" s="173" t="s">
        <v>1410</v>
      </c>
      <c r="N435" s="98" t="s">
        <v>1412</v>
      </c>
      <c r="O435" s="174" t="s">
        <v>1413</v>
      </c>
      <c r="P435" s="175" t="s">
        <v>14</v>
      </c>
      <c r="Q435" s="264" t="s">
        <v>2128</v>
      </c>
    </row>
    <row r="436" spans="1:17" ht="20.25">
      <c r="A436">
        <v>435</v>
      </c>
      <c r="B436" s="225" t="s">
        <v>70</v>
      </c>
      <c r="C436" s="291" t="s">
        <v>53</v>
      </c>
      <c r="E436" t="str">
        <f t="shared" si="67"/>
        <v>نفق طريق مكة المكرمة تقاطع شارع مساعد بن جلوي</v>
      </c>
      <c r="F436" t="str">
        <f>IFERROR(INDEX(N:N, MATCH(C436,P:P, 0)), "Not Found")</f>
        <v>Makka_DababPMP</v>
      </c>
      <c r="G436" t="str">
        <f t="shared" si="68"/>
        <v>24.683322, 46.699220</v>
      </c>
      <c r="L436">
        <v>435</v>
      </c>
      <c r="M436" s="173" t="s">
        <v>1410</v>
      </c>
      <c r="N436" s="98" t="s">
        <v>1414</v>
      </c>
      <c r="O436" s="174" t="s">
        <v>1415</v>
      </c>
      <c r="P436" s="175" t="s">
        <v>14</v>
      </c>
      <c r="Q436" s="264" t="s">
        <v>2129</v>
      </c>
    </row>
    <row r="437" spans="1:17" ht="21" thickBot="1">
      <c r="A437">
        <v>436</v>
      </c>
      <c r="B437" s="225" t="s">
        <v>70</v>
      </c>
      <c r="C437" s="6" t="s">
        <v>57</v>
      </c>
      <c r="E437" t="str">
        <f t="shared" si="67"/>
        <v xml:space="preserve">نفق  تقاطع الطريق الدائري الثاني أمام إسكان الحرس الوطني </v>
      </c>
      <c r="F437" t="str">
        <f t="shared" ref="F437:F443" si="69">IFERROR(INDEX(N:N, MATCH(C437, P:P, 0)), "Not Found")</f>
        <v>NGuard_TN_1</v>
      </c>
      <c r="G437" t="str">
        <f t="shared" si="68"/>
        <v>24.678051, 46.857021</v>
      </c>
      <c r="L437">
        <v>436</v>
      </c>
      <c r="M437" s="176" t="s">
        <v>1410</v>
      </c>
      <c r="N437" s="101" t="s">
        <v>1416</v>
      </c>
      <c r="O437" s="177" t="s">
        <v>1417</v>
      </c>
      <c r="P437" s="178" t="s">
        <v>14</v>
      </c>
      <c r="Q437" s="265" t="s">
        <v>2130</v>
      </c>
    </row>
    <row r="438" spans="1:17" ht="20.25">
      <c r="A438">
        <v>437</v>
      </c>
      <c r="B438" s="225" t="s">
        <v>70</v>
      </c>
      <c r="C438" s="6" t="s">
        <v>56</v>
      </c>
      <c r="E438" t="str">
        <f t="shared" si="67"/>
        <v>نفق تقاطع الطريق الدائري الثاني مع طريق أبوعبيدة بن الجراح (خشم العان2)</v>
      </c>
      <c r="F438" t="str">
        <f t="shared" si="69"/>
        <v>Khashm2_TN_1</v>
      </c>
      <c r="G438" t="str">
        <f t="shared" si="68"/>
        <v>24.6916830,46.8561393</v>
      </c>
      <c r="L438">
        <v>437</v>
      </c>
      <c r="M438" s="170" t="s">
        <v>1418</v>
      </c>
      <c r="N438" s="95" t="s">
        <v>1419</v>
      </c>
      <c r="O438" s="160" t="s">
        <v>1420</v>
      </c>
      <c r="P438" s="161" t="s">
        <v>62</v>
      </c>
      <c r="Q438" s="266" t="s">
        <v>2131</v>
      </c>
    </row>
    <row r="439" spans="1:17" ht="20.25">
      <c r="A439">
        <v>438</v>
      </c>
      <c r="B439" s="227" t="s">
        <v>70</v>
      </c>
      <c r="C439" s="6" t="s">
        <v>24</v>
      </c>
      <c r="E439" t="str">
        <f t="shared" si="67"/>
        <v>الطريق الدائري الثاني مع علي العريني (خشم العان 3)</v>
      </c>
      <c r="F439" t="str">
        <f t="shared" si="69"/>
        <v>Khashm3_TN_1</v>
      </c>
      <c r="G439" t="str">
        <f t="shared" si="68"/>
        <v>24.7495041  ,46.8510571</v>
      </c>
      <c r="L439">
        <v>438</v>
      </c>
      <c r="M439" s="173" t="s">
        <v>1418</v>
      </c>
      <c r="N439" s="98" t="s">
        <v>1421</v>
      </c>
      <c r="O439" s="163" t="s">
        <v>1422</v>
      </c>
      <c r="P439" s="164" t="s">
        <v>62</v>
      </c>
      <c r="Q439" s="264" t="s">
        <v>2132</v>
      </c>
    </row>
    <row r="440" spans="1:17" ht="20.25">
      <c r="A440">
        <v>439</v>
      </c>
      <c r="B440" s="227" t="s">
        <v>70</v>
      </c>
      <c r="C440" s="224" t="s">
        <v>20</v>
      </c>
      <c r="E440" t="str">
        <f t="shared" si="67"/>
        <v>Not Found</v>
      </c>
      <c r="F440" t="str">
        <f t="shared" si="69"/>
        <v>Not Found</v>
      </c>
      <c r="G440" t="str">
        <f>IFERROR(INDEX(Q:Q, MATCH(C440, O:O, 0)), "Not Found")</f>
        <v>Not Found</v>
      </c>
      <c r="L440">
        <v>439</v>
      </c>
      <c r="M440" s="173" t="s">
        <v>1418</v>
      </c>
      <c r="N440" s="98" t="s">
        <v>1423</v>
      </c>
      <c r="O440" s="163" t="s">
        <v>1424</v>
      </c>
      <c r="P440" s="164" t="s">
        <v>62</v>
      </c>
      <c r="Q440" s="264" t="s">
        <v>2133</v>
      </c>
    </row>
    <row r="441" spans="1:17" ht="20.25">
      <c r="A441">
        <v>440</v>
      </c>
      <c r="B441" s="227" t="s">
        <v>70</v>
      </c>
      <c r="C441" s="6" t="s">
        <v>44</v>
      </c>
      <c r="E441" t="str">
        <f t="shared" si="67"/>
        <v>نفق  تقاطع الطريق الدائري الثاني مع شارع السلامه (خشم العان 4)</v>
      </c>
      <c r="F441" t="str">
        <f t="shared" si="69"/>
        <v>khashm4_u149A_1</v>
      </c>
      <c r="G441" t="str">
        <f>IFERROR(INDEX(Q:Q, MATCH(C441, P:P, 0)), "Not Found")</f>
        <v>46.855436‬‏, 24.743596</v>
      </c>
      <c r="L441">
        <v>440</v>
      </c>
      <c r="M441" s="173" t="s">
        <v>1418</v>
      </c>
      <c r="N441" s="98" t="s">
        <v>1425</v>
      </c>
      <c r="O441" s="163" t="s">
        <v>1426</v>
      </c>
      <c r="P441" s="164" t="s">
        <v>62</v>
      </c>
      <c r="Q441" s="264" t="s">
        <v>2134</v>
      </c>
    </row>
    <row r="442" spans="1:17" ht="21" thickBot="1">
      <c r="A442">
        <v>441</v>
      </c>
      <c r="B442" s="227" t="s">
        <v>70</v>
      </c>
      <c r="C442" s="6" t="s">
        <v>44</v>
      </c>
      <c r="E442" t="str">
        <f t="shared" si="67"/>
        <v>نفق  تقاطع الطريق الدائري الثاني مع شارع السلامه (خشم العان 4)</v>
      </c>
      <c r="F442" t="str">
        <f t="shared" si="69"/>
        <v>khashm4_u149A_1</v>
      </c>
      <c r="G442" t="str">
        <f>IFERROR(INDEX(Q:Q, MATCH(C442, P:P, 0)), "Not Found")</f>
        <v>46.855436‬‏, 24.743596</v>
      </c>
      <c r="L442">
        <v>441</v>
      </c>
      <c r="M442" s="176" t="s">
        <v>1418</v>
      </c>
      <c r="N442" s="101" t="s">
        <v>1427</v>
      </c>
      <c r="O442" s="166" t="s">
        <v>1428</v>
      </c>
      <c r="P442" s="167" t="s">
        <v>62</v>
      </c>
      <c r="Q442" s="265" t="s">
        <v>2135</v>
      </c>
    </row>
    <row r="443" spans="1:17" ht="20.25">
      <c r="A443">
        <v>442</v>
      </c>
      <c r="B443" s="225" t="s">
        <v>70</v>
      </c>
      <c r="C443" s="6" t="s">
        <v>56</v>
      </c>
      <c r="E443" t="str">
        <f t="shared" si="67"/>
        <v>نفق تقاطع الطريق الدائري الثاني مع طريق أبوعبيدة بن الجراح (خشم العان2)</v>
      </c>
      <c r="F443" t="str">
        <f t="shared" si="69"/>
        <v>Khashm2_TN_1</v>
      </c>
      <c r="G443" t="str">
        <f>IFERROR(INDEX(Q:Q, MATCH(C443, P:P, 0)), "Not Found")</f>
        <v>24.6916830,46.8561393</v>
      </c>
      <c r="L443">
        <v>442</v>
      </c>
      <c r="M443" s="170" t="s">
        <v>1429</v>
      </c>
      <c r="N443" s="95" t="s">
        <v>1430</v>
      </c>
      <c r="O443" s="171" t="s">
        <v>160</v>
      </c>
      <c r="P443" s="172" t="s">
        <v>42</v>
      </c>
      <c r="Q443" s="266" t="s">
        <v>2136</v>
      </c>
    </row>
    <row r="444" spans="1:17" ht="20.25">
      <c r="A444">
        <v>443</v>
      </c>
      <c r="B444" s="225" t="s">
        <v>70</v>
      </c>
      <c r="C444" s="224" t="s">
        <v>64</v>
      </c>
      <c r="E444" t="str">
        <f t="shared" si="67"/>
        <v>Not Found</v>
      </c>
      <c r="F444" t="str">
        <f>IFERROR(INDEX(N:N, MATCH(C444,P:P, 0)), "Not Found")</f>
        <v>Not Found</v>
      </c>
      <c r="G444" t="str">
        <f>IFERROR(INDEX(Q:Q, MATCH(C444, P:P, 0)), "Not Found")</f>
        <v>Not Found</v>
      </c>
      <c r="L444">
        <v>443</v>
      </c>
      <c r="M444" s="173" t="s">
        <v>1429</v>
      </c>
      <c r="N444" s="98" t="s">
        <v>1431</v>
      </c>
      <c r="O444" s="174" t="s">
        <v>1432</v>
      </c>
      <c r="P444" s="175" t="s">
        <v>42</v>
      </c>
      <c r="Q444" s="264" t="s">
        <v>2137</v>
      </c>
    </row>
    <row r="445" spans="1:17" ht="20.25">
      <c r="A445">
        <v>444</v>
      </c>
      <c r="B445" s="225" t="s">
        <v>70</v>
      </c>
      <c r="C445" s="6" t="s">
        <v>26</v>
      </c>
      <c r="E445" t="str">
        <f t="shared" si="67"/>
        <v xml:space="preserve">نفق مخرج 24 طريق خريص تقاطع شارع الحسن بن علي </v>
      </c>
      <c r="F445" t="str">
        <f>IFERROR(INDEX(N:N, MATCH(C445, P:P, 0)), "Not Found")</f>
        <v>EX24_khu_WE3</v>
      </c>
      <c r="G445" t="str">
        <f>IFERROR(INDEX(Q:Q, MATCH(C445, P:P, 0)), "Not Found")</f>
        <v xml:space="preserve">24.720849, 46.772209  </v>
      </c>
      <c r="L445">
        <v>444</v>
      </c>
      <c r="M445" s="173" t="s">
        <v>1429</v>
      </c>
      <c r="N445" s="98" t="s">
        <v>1433</v>
      </c>
      <c r="O445" s="174" t="s">
        <v>1434</v>
      </c>
      <c r="P445" s="175" t="s">
        <v>42</v>
      </c>
      <c r="Q445" s="264" t="s">
        <v>2138</v>
      </c>
    </row>
    <row r="446" spans="1:17" ht="21" thickBot="1">
      <c r="A446">
        <v>445</v>
      </c>
      <c r="B446" s="229" t="s">
        <v>69</v>
      </c>
      <c r="C446" s="6" t="s">
        <v>448</v>
      </c>
      <c r="E446" t="str">
        <f t="shared" ref="E446:E453" si="70">IFERROR(INDEX(M:M, MATCH(C446, O:O, 0)), "Not Found")</f>
        <v>طريق خريص - الحرس الوطني - شرق</v>
      </c>
      <c r="F446" t="str">
        <f t="shared" ref="F446:F453" si="71">IFERROR(INDEX(N:N, MATCH(C446, O:O, 0)), "Not Found")</f>
        <v>VMS NATIONAL GUARD EB</v>
      </c>
      <c r="G446" t="str">
        <f t="shared" ref="G446:G458" si="72">IFERROR(INDEX(Q:Q, MATCH(C446, O:O, 0)), "Not Found")</f>
        <v xml:space="preserve"> 24.773150° -  46.835167°</v>
      </c>
      <c r="L446">
        <v>445</v>
      </c>
      <c r="M446" s="176" t="s">
        <v>1429</v>
      </c>
      <c r="N446" s="101" t="s">
        <v>1435</v>
      </c>
      <c r="O446" s="177" t="s">
        <v>1436</v>
      </c>
      <c r="P446" s="178" t="s">
        <v>42</v>
      </c>
      <c r="Q446" s="265" t="s">
        <v>2139</v>
      </c>
    </row>
    <row r="447" spans="1:17" ht="20.25">
      <c r="A447">
        <v>446</v>
      </c>
      <c r="B447" s="229" t="s">
        <v>69</v>
      </c>
      <c r="C447" s="6" t="s">
        <v>432</v>
      </c>
      <c r="E447" t="str">
        <f t="shared" si="70"/>
        <v xml:space="preserve">الدائري الشرقي - مخرج 13 - جنوب </v>
      </c>
      <c r="F447" t="str">
        <f t="shared" si="71"/>
        <v>VMS EXIT 13 SB</v>
      </c>
      <c r="G447" t="str">
        <f t="shared" si="72"/>
        <v>24.817556,46.714714</v>
      </c>
      <c r="L447">
        <v>446</v>
      </c>
      <c r="M447" s="159" t="s">
        <v>1437</v>
      </c>
      <c r="N447" s="76" t="s">
        <v>1438</v>
      </c>
      <c r="O447" s="160" t="s">
        <v>1439</v>
      </c>
      <c r="P447" s="161" t="s">
        <v>57</v>
      </c>
      <c r="Q447" s="251" t="s">
        <v>2140</v>
      </c>
    </row>
    <row r="448" spans="1:17" ht="20.25">
      <c r="A448">
        <v>447</v>
      </c>
      <c r="B448" s="229" t="s">
        <v>69</v>
      </c>
      <c r="C448" s="6" t="s">
        <v>360</v>
      </c>
      <c r="E448" t="str">
        <f t="shared" si="70"/>
        <v>تقاطع طريق الامام سعود بن عبد العزيز مع الدائري الشرقي (شرق)</v>
      </c>
      <c r="F448" t="str">
        <f t="shared" si="71"/>
        <v>U18-EB</v>
      </c>
      <c r="G448" t="str">
        <f t="shared" si="72"/>
        <v>24.547139, 46.667056</v>
      </c>
      <c r="L448">
        <v>447</v>
      </c>
      <c r="M448" s="162" t="s">
        <v>1437</v>
      </c>
      <c r="N448" s="80" t="s">
        <v>1440</v>
      </c>
      <c r="O448" s="163" t="s">
        <v>1441</v>
      </c>
      <c r="P448" s="164" t="s">
        <v>57</v>
      </c>
      <c r="Q448" s="252" t="s">
        <v>2141</v>
      </c>
    </row>
    <row r="449" spans="1:17" ht="21" thickBot="1">
      <c r="A449">
        <v>448</v>
      </c>
      <c r="B449" s="229" t="s">
        <v>69</v>
      </c>
      <c r="C449" s="6" t="s">
        <v>361</v>
      </c>
      <c r="E449" t="str">
        <f t="shared" si="70"/>
        <v>تقاطع طريق الامام سعود بن عبد العزيز مع الدائري الشرقي (شرق)</v>
      </c>
      <c r="F449" t="str">
        <f t="shared" si="71"/>
        <v>U18-WB</v>
      </c>
      <c r="G449" t="str">
        <f t="shared" si="72"/>
        <v>24.532056, 46.654667</v>
      </c>
      <c r="L449">
        <v>448</v>
      </c>
      <c r="M449" s="165" t="s">
        <v>1437</v>
      </c>
      <c r="N449" s="84" t="s">
        <v>1442</v>
      </c>
      <c r="O449" s="166" t="s">
        <v>1443</v>
      </c>
      <c r="P449" s="167" t="s">
        <v>57</v>
      </c>
      <c r="Q449" s="290" t="s">
        <v>2142</v>
      </c>
    </row>
    <row r="450" spans="1:17" ht="20.25">
      <c r="A450">
        <v>449</v>
      </c>
      <c r="B450" s="229" t="s">
        <v>69</v>
      </c>
      <c r="C450" s="6" t="s">
        <v>360</v>
      </c>
      <c r="E450" t="str">
        <f t="shared" si="70"/>
        <v>تقاطع طريق الامام سعود بن عبد العزيز مع الدائري الشرقي (شرق)</v>
      </c>
      <c r="F450" t="str">
        <f t="shared" si="71"/>
        <v>U18-EB</v>
      </c>
      <c r="G450" t="str">
        <f t="shared" si="72"/>
        <v>24.547139, 46.667056</v>
      </c>
      <c r="L450">
        <v>449</v>
      </c>
      <c r="M450" s="179" t="s">
        <v>1444</v>
      </c>
      <c r="N450" s="76" t="s">
        <v>1445</v>
      </c>
      <c r="O450" s="185" t="s">
        <v>1446</v>
      </c>
      <c r="P450" s="186" t="s">
        <v>31</v>
      </c>
      <c r="Q450" s="251" t="s">
        <v>2143</v>
      </c>
    </row>
    <row r="451" spans="1:17" ht="20.25">
      <c r="A451">
        <v>450</v>
      </c>
      <c r="B451" s="229" t="s">
        <v>69</v>
      </c>
      <c r="C451" s="6" t="s">
        <v>353</v>
      </c>
      <c r="E451" t="str">
        <f t="shared" si="70"/>
        <v>تقاطع طريق ديراب مع طريق المثنى بن حارثة</v>
      </c>
      <c r="F451" t="str">
        <f t="shared" si="71"/>
        <v>U14-NB</v>
      </c>
      <c r="G451" t="str">
        <f t="shared" si="72"/>
        <v>24.613861, 46.726861</v>
      </c>
      <c r="L451">
        <v>450</v>
      </c>
      <c r="M451" s="180" t="s">
        <v>1444</v>
      </c>
      <c r="N451" s="80" t="s">
        <v>1447</v>
      </c>
      <c r="O451" s="187" t="s">
        <v>1448</v>
      </c>
      <c r="P451" s="188" t="s">
        <v>31</v>
      </c>
      <c r="Q451" s="252" t="s">
        <v>2144</v>
      </c>
    </row>
    <row r="452" spans="1:17" ht="21" thickBot="1">
      <c r="A452">
        <v>451</v>
      </c>
      <c r="B452" s="229" t="s">
        <v>69</v>
      </c>
      <c r="C452" s="6" t="s">
        <v>450</v>
      </c>
      <c r="E452" t="str">
        <f t="shared" si="70"/>
        <v>مخرج 19 - الطريق الدائري الجنوبي - غرب</v>
      </c>
      <c r="F452" t="str">
        <f t="shared" si="71"/>
        <v>VMS EXIT 19 SB</v>
      </c>
      <c r="G452" t="str">
        <f t="shared" si="72"/>
        <v>24.706469, 46.748997</v>
      </c>
      <c r="L452">
        <v>451</v>
      </c>
      <c r="M452" s="181" t="s">
        <v>1444</v>
      </c>
      <c r="N452" s="84" t="s">
        <v>1449</v>
      </c>
      <c r="O452" s="189" t="s">
        <v>1450</v>
      </c>
      <c r="P452" s="190" t="s">
        <v>31</v>
      </c>
      <c r="Q452" s="254" t="s">
        <v>2145</v>
      </c>
    </row>
    <row r="453" spans="1:17" ht="20.25">
      <c r="A453">
        <v>452</v>
      </c>
      <c r="B453" s="229" t="s">
        <v>69</v>
      </c>
      <c r="C453" s="6" t="s">
        <v>397</v>
      </c>
      <c r="E453" t="str">
        <f t="shared" si="70"/>
        <v>طريق مكه المكرمة - التخصصي - غرب</v>
      </c>
      <c r="F453" t="str">
        <f t="shared" si="71"/>
        <v>VMS TAKHASUSI WB</v>
      </c>
      <c r="G453" t="str">
        <f t="shared" si="72"/>
        <v xml:space="preserve"> 24.682322° -  46.686911°</v>
      </c>
      <c r="L453">
        <v>452</v>
      </c>
      <c r="M453" s="170" t="s">
        <v>1451</v>
      </c>
      <c r="N453" s="95" t="s">
        <v>1452</v>
      </c>
      <c r="O453" s="171" t="s">
        <v>170</v>
      </c>
      <c r="P453" s="172" t="s">
        <v>35</v>
      </c>
      <c r="Q453" s="266" t="s">
        <v>2146</v>
      </c>
    </row>
    <row r="454" spans="1:17" ht="20.25">
      <c r="A454">
        <v>453</v>
      </c>
      <c r="B454" s="229" t="s">
        <v>69</v>
      </c>
      <c r="C454" s="224" t="s">
        <v>17</v>
      </c>
      <c r="E454" t="str">
        <f>IFERROR(INDEX(M:M, MATCH(C454, N:N, 0)), "Not Found")</f>
        <v>Not Found</v>
      </c>
      <c r="F454" t="str">
        <f>IFERROR(INDEX(O:O, MATCH(C454, N:N, 0)), "Not Found")</f>
        <v>Not Found</v>
      </c>
      <c r="G454" t="str">
        <f t="shared" si="72"/>
        <v>Not Found</v>
      </c>
      <c r="L454">
        <v>453</v>
      </c>
      <c r="M454" s="173" t="s">
        <v>1451</v>
      </c>
      <c r="N454" s="98" t="s">
        <v>1453</v>
      </c>
      <c r="O454" s="174" t="s">
        <v>1454</v>
      </c>
      <c r="P454" s="175" t="s">
        <v>35</v>
      </c>
      <c r="Q454" s="264" t="s">
        <v>2147</v>
      </c>
    </row>
    <row r="455" spans="1:17" ht="20.25">
      <c r="A455">
        <v>454</v>
      </c>
      <c r="B455" s="229" t="s">
        <v>69</v>
      </c>
      <c r="C455" s="224" t="s">
        <v>17</v>
      </c>
      <c r="E455" t="str">
        <f>IFERROR(INDEX(M:M, MATCH(C455, N:N, 0)), "Not Found")</f>
        <v>Not Found</v>
      </c>
      <c r="F455" t="str">
        <f>IFERROR(INDEX(O:O, MATCH(C455, N:N, 0)), "Not Found")</f>
        <v>Not Found</v>
      </c>
      <c r="G455" t="str">
        <f t="shared" si="72"/>
        <v>Not Found</v>
      </c>
      <c r="L455">
        <v>454</v>
      </c>
      <c r="M455" s="173" t="s">
        <v>1451</v>
      </c>
      <c r="N455" s="98" t="s">
        <v>1455</v>
      </c>
      <c r="O455" s="174" t="s">
        <v>1456</v>
      </c>
      <c r="P455" s="175" t="s">
        <v>35</v>
      </c>
      <c r="Q455" s="264" t="s">
        <v>2148</v>
      </c>
    </row>
    <row r="456" spans="1:17" ht="21" thickBot="1">
      <c r="A456">
        <v>455</v>
      </c>
      <c r="B456" s="229" t="s">
        <v>69</v>
      </c>
      <c r="C456" s="6" t="s">
        <v>361</v>
      </c>
      <c r="E456" t="str">
        <f>IFERROR(INDEX(M:M, MATCH(C456, O:O, 0)), "Not Found")</f>
        <v>تقاطع طريق الامام سعود بن عبد العزيز مع الدائري الشرقي (شرق)</v>
      </c>
      <c r="F456" t="str">
        <f>IFERROR(INDEX(N:N, MATCH(C456, O:O, 0)), "Not Found")</f>
        <v>U18-WB</v>
      </c>
      <c r="G456" t="str">
        <f t="shared" si="72"/>
        <v>24.532056, 46.654667</v>
      </c>
      <c r="L456">
        <v>455</v>
      </c>
      <c r="M456" s="176" t="s">
        <v>1451</v>
      </c>
      <c r="N456" s="101" t="s">
        <v>1457</v>
      </c>
      <c r="O456" s="177" t="s">
        <v>1458</v>
      </c>
      <c r="P456" s="178" t="s">
        <v>35</v>
      </c>
      <c r="Q456" s="265" t="s">
        <v>2149</v>
      </c>
    </row>
    <row r="457" spans="1:17" ht="20.25">
      <c r="A457">
        <v>456</v>
      </c>
      <c r="B457" s="229" t="s">
        <v>69</v>
      </c>
      <c r="C457" s="6" t="s">
        <v>361</v>
      </c>
      <c r="E457" t="str">
        <f>IFERROR(INDEX(M:M, MATCH(C457, O:O, 0)), "Not Found")</f>
        <v>تقاطع طريق الامام سعود بن عبد العزيز مع الدائري الشرقي (شرق)</v>
      </c>
      <c r="F457" t="str">
        <f>IFERROR(INDEX(N:N, MATCH(C457, O:O, 0)), "Not Found")</f>
        <v>U18-WB</v>
      </c>
      <c r="G457" t="str">
        <f t="shared" si="72"/>
        <v>24.532056, 46.654667</v>
      </c>
      <c r="L457">
        <v>456</v>
      </c>
      <c r="M457" s="179" t="s">
        <v>100</v>
      </c>
      <c r="N457" s="76" t="s">
        <v>1459</v>
      </c>
      <c r="O457" s="171" t="s">
        <v>1460</v>
      </c>
      <c r="P457" s="172" t="s">
        <v>24</v>
      </c>
      <c r="Q457" s="251" t="s">
        <v>2150</v>
      </c>
    </row>
    <row r="458" spans="1:17" ht="20.25">
      <c r="A458">
        <v>457</v>
      </c>
      <c r="B458" s="229" t="s">
        <v>69</v>
      </c>
      <c r="C458" s="6" t="s">
        <v>387</v>
      </c>
      <c r="E458" t="str">
        <f>IFERROR(INDEX(M:M, MATCH(C458, O:O, 0)), "Not Found")</f>
        <v>مخرج 10 -  الدائري الشرقي - جنوب</v>
      </c>
      <c r="F458" t="str">
        <f>IFERROR(INDEX(N:N, MATCH(C458, O:O, 0)), "Not Found")</f>
        <v>VMS EXIT 10 SB</v>
      </c>
      <c r="G458" t="str">
        <f t="shared" si="72"/>
        <v>24.806716°- 46.755410°</v>
      </c>
      <c r="L458">
        <v>457</v>
      </c>
      <c r="M458" s="180" t="s">
        <v>100</v>
      </c>
      <c r="N458" s="80" t="s">
        <v>1461</v>
      </c>
      <c r="O458" s="174" t="s">
        <v>1462</v>
      </c>
      <c r="P458" s="175" t="s">
        <v>24</v>
      </c>
      <c r="Q458" s="252" t="s">
        <v>2151</v>
      </c>
    </row>
    <row r="459" spans="1:17" ht="21" thickBot="1">
      <c r="A459">
        <v>458</v>
      </c>
      <c r="B459" s="225" t="s">
        <v>70</v>
      </c>
      <c r="C459" s="291" t="s">
        <v>44</v>
      </c>
      <c r="E459" t="str">
        <f>IFERROR(INDEX(M:M, MATCH(C459, P:P, 0)), "Not Found")</f>
        <v>نفق  تقاطع الطريق الدائري الثاني مع شارع السلامه (خشم العان 4)</v>
      </c>
      <c r="F459" t="str">
        <f>IFERROR(INDEX(N:N, MATCH(C459,P:P, 0)), "Not Found")</f>
        <v>khashm4_u149A_1</v>
      </c>
      <c r="G459" t="str">
        <f>IFERROR(INDEX(Q:Q, MATCH(C459, P:P, 0)), "Not Found")</f>
        <v>46.855436‬‏, 24.743596</v>
      </c>
      <c r="L459">
        <v>458</v>
      </c>
      <c r="M459" s="181" t="s">
        <v>100</v>
      </c>
      <c r="N459" s="84" t="s">
        <v>1463</v>
      </c>
      <c r="O459" s="177" t="s">
        <v>1464</v>
      </c>
      <c r="P459" s="178" t="s">
        <v>24</v>
      </c>
      <c r="Q459" s="254" t="s">
        <v>2152</v>
      </c>
    </row>
    <row r="460" spans="1:17" ht="20.25">
      <c r="A460">
        <v>459</v>
      </c>
      <c r="B460" s="230" t="s">
        <v>68</v>
      </c>
      <c r="C460" s="6" t="s">
        <v>132</v>
      </c>
      <c r="E460" t="str">
        <f>IFERROR(INDEX(M:M, MATCH(C460, O:O, 0)), "Not Found")</f>
        <v xml:space="preserve">تقاطع شارع الناصرية مع شارع المعذر – التخصصي </v>
      </c>
      <c r="F460" t="str">
        <f>IFERROR(INDEX(N:N, MATCH(C460, O:O, 0)), "Not Found")</f>
        <v>U3-SN2</v>
      </c>
      <c r="G460" t="str">
        <f>IFERROR(INDEX(Q:Q, MATCH(C460, O:O, 0)), "Not Found")</f>
        <v>24.660922, 46.685047</v>
      </c>
      <c r="L460">
        <v>459</v>
      </c>
      <c r="M460" s="159" t="s">
        <v>1465</v>
      </c>
      <c r="N460" s="76" t="s">
        <v>1466</v>
      </c>
      <c r="O460" s="171" t="s">
        <v>162</v>
      </c>
      <c r="P460" s="172" t="s">
        <v>44</v>
      </c>
      <c r="Q460" s="251" t="s">
        <v>2153</v>
      </c>
    </row>
    <row r="461" spans="1:17" ht="20.25">
      <c r="A461">
        <v>460</v>
      </c>
      <c r="B461" s="231" t="s">
        <v>68</v>
      </c>
      <c r="C461" s="6" t="s">
        <v>133</v>
      </c>
      <c r="E461" t="str">
        <f>IFERROR(INDEX(M:M, MATCH(C461, O:O, 0)), "Not Found")</f>
        <v xml:space="preserve">تقاطع شارع الملك خالد مع شارع المعذر </v>
      </c>
      <c r="F461" t="str">
        <f>IFERROR(INDEX(N:N, MATCH(C461, O:O, 0)), "Not Found")</f>
        <v>U4--WE</v>
      </c>
      <c r="G461" t="str">
        <f>IFERROR(INDEX(Q:Q, MATCH(C461, O:O, 0)), "Not Found")</f>
        <v>24.656399, 46.678383</v>
      </c>
      <c r="L461">
        <v>460</v>
      </c>
      <c r="M461" s="162" t="s">
        <v>1465</v>
      </c>
      <c r="N461" s="80" t="s">
        <v>1467</v>
      </c>
      <c r="O461" s="174" t="s">
        <v>1468</v>
      </c>
      <c r="P461" s="175" t="s">
        <v>44</v>
      </c>
      <c r="Q461" s="252" t="s">
        <v>2154</v>
      </c>
    </row>
    <row r="462" spans="1:17" ht="21" thickBot="1">
      <c r="A462">
        <v>461</v>
      </c>
      <c r="B462" s="231" t="s">
        <v>68</v>
      </c>
      <c r="C462" s="6" t="s">
        <v>132</v>
      </c>
      <c r="E462" t="str">
        <f>IFERROR(INDEX(M:M, MATCH(C462, O:O, 0)), "Not Found")</f>
        <v xml:space="preserve">تقاطع شارع الناصرية مع شارع المعذر – التخصصي </v>
      </c>
      <c r="F462" t="str">
        <f>IFERROR(INDEX(N:N, MATCH(C462, O:O, 0)), "Not Found")</f>
        <v>U3-SN2</v>
      </c>
      <c r="G462" t="str">
        <f>IFERROR(INDEX(Q:Q, MATCH(C462, O:O, 0)), "Not Found")</f>
        <v>24.660922, 46.685047</v>
      </c>
      <c r="L462">
        <v>461</v>
      </c>
      <c r="M462" s="165" t="s">
        <v>1465</v>
      </c>
      <c r="N462" s="84" t="s">
        <v>1469</v>
      </c>
      <c r="O462" s="177" t="s">
        <v>1470</v>
      </c>
      <c r="P462" s="178" t="s">
        <v>44</v>
      </c>
      <c r="Q462" s="254" t="s">
        <v>2155</v>
      </c>
    </row>
    <row r="463" spans="1:17" ht="20.25">
      <c r="A463">
        <v>462</v>
      </c>
      <c r="B463" s="226" t="s">
        <v>70</v>
      </c>
      <c r="C463" s="292" t="s">
        <v>96</v>
      </c>
      <c r="E463" t="str">
        <f>IFERROR(INDEX(M:M, MATCH(C463, P:P, 0)), "Not Found")</f>
        <v>نفق تقاطع طريق مكة المكرمة مع طريق العليا</v>
      </c>
      <c r="F463" t="str">
        <f>IFERROR(INDEX(N:N, MATCH(C463,P:P, 0)), "Not Found")</f>
        <v>Makka_OlayaTN1</v>
      </c>
      <c r="G463" t="str">
        <f>IFERROR(INDEX(Q:Q, MATCH(C463, P:P, 0)), "Not Found")</f>
        <v>24.680266, 46.691729</v>
      </c>
      <c r="L463">
        <v>462</v>
      </c>
      <c r="M463" s="179" t="s">
        <v>1471</v>
      </c>
      <c r="N463" s="76" t="s">
        <v>1472</v>
      </c>
      <c r="O463" s="171" t="s">
        <v>161</v>
      </c>
      <c r="P463" s="172" t="s">
        <v>37</v>
      </c>
      <c r="Q463" s="257" t="s">
        <v>2156</v>
      </c>
    </row>
    <row r="464" spans="1:17" ht="20.25">
      <c r="A464">
        <v>463</v>
      </c>
      <c r="B464" s="225" t="s">
        <v>70</v>
      </c>
      <c r="C464" s="295" t="s">
        <v>35</v>
      </c>
      <c r="E464" t="str">
        <f>IFERROR(INDEX(M:M, MATCH(C464, P:P, 0)), "Not Found")</f>
        <v>نفق مخرج 16 طريق الدائري الشرقي تقاطع طريق عمر بن الخطاب</v>
      </c>
      <c r="F464" t="str">
        <f>IFERROR(INDEX(N:N, MATCH(C464,P:P, 0)), "Not Found")</f>
        <v>EXIT16_TN_1</v>
      </c>
      <c r="G464" t="str">
        <f>IFERROR(INDEX(Q:Q, MATCH(C464, P:P, 0)), "Not Found")</f>
        <v>24.666791, 46.784996</v>
      </c>
      <c r="L464">
        <v>463</v>
      </c>
      <c r="M464" s="180" t="s">
        <v>1471</v>
      </c>
      <c r="N464" s="80" t="s">
        <v>1473</v>
      </c>
      <c r="O464" s="174" t="s">
        <v>1474</v>
      </c>
      <c r="P464" s="175" t="s">
        <v>37</v>
      </c>
      <c r="Q464" s="252" t="s">
        <v>2157</v>
      </c>
    </row>
    <row r="465" spans="1:17" ht="21" thickBot="1">
      <c r="A465">
        <v>464</v>
      </c>
      <c r="B465" s="225" t="s">
        <v>70</v>
      </c>
      <c r="C465" s="6" t="s">
        <v>89</v>
      </c>
      <c r="E465" t="str">
        <f>IFERROR(INDEX(M:M, MATCH(C465, P:P, 0)), "Not Found")</f>
        <v>تقاطع شارع عبدالله بن عبيد و طريق الشيخ عيسى بن سلمان آل خليفة</v>
      </c>
      <c r="F465" t="str">
        <f>IFERROR(INDEX(N:N, MATCH(C465, P:P, 0)), "Not Found")</f>
        <v>U26-ROOM-WS</v>
      </c>
      <c r="G465" t="str">
        <f>IFERROR(INDEX(Q:Q, MATCH(C465, P:P, 0)), "Not Found")</f>
        <v>24.792597, 46.834709</v>
      </c>
      <c r="L465">
        <v>464</v>
      </c>
      <c r="M465" s="181" t="s">
        <v>1471</v>
      </c>
      <c r="N465" s="84" t="s">
        <v>1475</v>
      </c>
      <c r="O465" s="177" t="s">
        <v>1476</v>
      </c>
      <c r="P465" s="178" t="s">
        <v>37</v>
      </c>
      <c r="Q465" s="254" t="s">
        <v>2158</v>
      </c>
    </row>
    <row r="466" spans="1:17" ht="20.25">
      <c r="A466">
        <v>465</v>
      </c>
      <c r="B466" s="230" t="s">
        <v>68</v>
      </c>
      <c r="C466" s="6" t="s">
        <v>134</v>
      </c>
      <c r="E466" t="str">
        <f>IFERROR(INDEX(M:M, MATCH(C466, O:O, 0)), "Not Found")</f>
        <v>نفق طريق الملك فهد تقاطع طريق الامام سعود بن فيصل</v>
      </c>
      <c r="F466" t="str">
        <f>IFERROR(INDEX(N:N, MATCH(C466, O:O, 0)), "Not Found")</f>
        <v>Fahd_saud_TN1</v>
      </c>
      <c r="G466" t="str">
        <f>IFERROR(INDEX(Q:Q, MATCH(C466, O:O, 0)), "Not Found")</f>
        <v>24.793907, 46.630556</v>
      </c>
      <c r="L466">
        <v>465</v>
      </c>
      <c r="M466" s="159" t="s">
        <v>1477</v>
      </c>
      <c r="N466" s="76" t="s">
        <v>1478</v>
      </c>
      <c r="O466" s="171" t="s">
        <v>1479</v>
      </c>
      <c r="P466" s="172" t="s">
        <v>56</v>
      </c>
      <c r="Q466" s="251" t="s">
        <v>2159</v>
      </c>
    </row>
    <row r="467" spans="1:17" ht="20.25">
      <c r="A467">
        <v>466</v>
      </c>
      <c r="B467" s="226" t="s">
        <v>70</v>
      </c>
      <c r="C467" s="6" t="s">
        <v>89</v>
      </c>
      <c r="E467" t="str">
        <f>IFERROR(INDEX(M:M, MATCH(C467, P:P, 0)), "Not Found")</f>
        <v>تقاطع شارع عبدالله بن عبيد و طريق الشيخ عيسى بن سلمان آل خليفة</v>
      </c>
      <c r="F467" t="str">
        <f>IFERROR(INDEX(N:N, MATCH(C467, P:P, 0)), "Not Found")</f>
        <v>U26-ROOM-WS</v>
      </c>
      <c r="G467" t="str">
        <f>IFERROR(INDEX(Q:Q, MATCH(C467, P:P, 0)), "Not Found")</f>
        <v>24.792597, 46.834709</v>
      </c>
      <c r="L467">
        <v>466</v>
      </c>
      <c r="M467" s="162" t="s">
        <v>1477</v>
      </c>
      <c r="N467" s="80" t="s">
        <v>1480</v>
      </c>
      <c r="O467" s="174" t="s">
        <v>1481</v>
      </c>
      <c r="P467" s="175" t="s">
        <v>56</v>
      </c>
      <c r="Q467" s="252" t="s">
        <v>2160</v>
      </c>
    </row>
    <row r="468" spans="1:17" ht="20.25">
      <c r="B468" s="2"/>
      <c r="C468" s="6"/>
      <c r="L468">
        <v>467</v>
      </c>
      <c r="M468" s="162" t="s">
        <v>1477</v>
      </c>
      <c r="N468" s="80" t="s">
        <v>1482</v>
      </c>
      <c r="O468" s="174" t="s">
        <v>1483</v>
      </c>
      <c r="P468" s="175" t="s">
        <v>56</v>
      </c>
      <c r="Q468" s="252" t="s">
        <v>2161</v>
      </c>
    </row>
    <row r="469" spans="1:17" ht="21" thickBot="1">
      <c r="L469">
        <v>468</v>
      </c>
      <c r="M469" s="165" t="s">
        <v>1477</v>
      </c>
      <c r="N469" s="84" t="s">
        <v>1484</v>
      </c>
      <c r="O469" s="177" t="s">
        <v>1485</v>
      </c>
      <c r="P469" s="178" t="s">
        <v>56</v>
      </c>
      <c r="Q469" s="254" t="s">
        <v>2162</v>
      </c>
    </row>
    <row r="470" spans="1:17" ht="20.25">
      <c r="L470">
        <v>469</v>
      </c>
      <c r="M470" s="179" t="s">
        <v>1486</v>
      </c>
      <c r="N470" s="76" t="s">
        <v>1487</v>
      </c>
      <c r="O470" s="160" t="s">
        <v>1488</v>
      </c>
      <c r="P470" s="161" t="s">
        <v>61</v>
      </c>
      <c r="Q470" s="251" t="s">
        <v>2163</v>
      </c>
    </row>
    <row r="471" spans="1:17" ht="20.25">
      <c r="L471">
        <v>470</v>
      </c>
      <c r="M471" s="180" t="s">
        <v>1486</v>
      </c>
      <c r="N471" s="80" t="s">
        <v>1489</v>
      </c>
      <c r="O471" s="163" t="s">
        <v>1490</v>
      </c>
      <c r="P471" s="164" t="s">
        <v>61</v>
      </c>
      <c r="Q471" s="252" t="s">
        <v>2164</v>
      </c>
    </row>
    <row r="472" spans="1:17" ht="21" thickBot="1">
      <c r="L472">
        <v>471</v>
      </c>
      <c r="M472" s="181" t="s">
        <v>1486</v>
      </c>
      <c r="N472" s="84" t="s">
        <v>1491</v>
      </c>
      <c r="O472" s="166" t="s">
        <v>1492</v>
      </c>
      <c r="P472" s="167" t="s">
        <v>61</v>
      </c>
      <c r="Q472" s="254" t="s">
        <v>2165</v>
      </c>
    </row>
    <row r="473" spans="1:17" ht="21">
      <c r="L473">
        <v>472</v>
      </c>
      <c r="M473" s="191" t="s">
        <v>1493</v>
      </c>
      <c r="N473" s="129" t="s">
        <v>1494</v>
      </c>
      <c r="O473" s="154" t="s">
        <v>108</v>
      </c>
      <c r="P473" s="129" t="s">
        <v>5</v>
      </c>
      <c r="Q473" s="275" t="s">
        <v>2166</v>
      </c>
    </row>
    <row r="474" spans="1:17" ht="21">
      <c r="L474">
        <v>473</v>
      </c>
      <c r="M474" s="192" t="s">
        <v>1493</v>
      </c>
      <c r="N474" s="131" t="s">
        <v>1495</v>
      </c>
      <c r="O474" s="155" t="s">
        <v>1496</v>
      </c>
      <c r="P474" s="131" t="s">
        <v>5</v>
      </c>
      <c r="Q474" s="280" t="s">
        <v>2167</v>
      </c>
    </row>
    <row r="475" spans="1:17" ht="21">
      <c r="L475">
        <v>474</v>
      </c>
      <c r="M475" s="192" t="s">
        <v>1493</v>
      </c>
      <c r="N475" s="131" t="s">
        <v>1497</v>
      </c>
      <c r="O475" s="155" t="s">
        <v>1498</v>
      </c>
      <c r="P475" s="131" t="s">
        <v>5</v>
      </c>
      <c r="Q475" s="280" t="s">
        <v>2168</v>
      </c>
    </row>
    <row r="476" spans="1:17" ht="21.75" thickBot="1">
      <c r="L476">
        <v>475</v>
      </c>
      <c r="M476" s="193" t="s">
        <v>1493</v>
      </c>
      <c r="N476" s="133" t="s">
        <v>1499</v>
      </c>
      <c r="O476" s="156" t="s">
        <v>1500</v>
      </c>
      <c r="P476" s="133" t="s">
        <v>5</v>
      </c>
      <c r="Q476" s="279" t="s">
        <v>2169</v>
      </c>
    </row>
    <row r="477" spans="1:17" ht="21">
      <c r="L477">
        <v>476</v>
      </c>
      <c r="M477" s="191" t="s">
        <v>1501</v>
      </c>
      <c r="N477" s="113" t="s">
        <v>1502</v>
      </c>
      <c r="O477" s="154" t="s">
        <v>1503</v>
      </c>
      <c r="P477" s="129" t="s">
        <v>1680</v>
      </c>
      <c r="Q477" s="275" t="s">
        <v>2170</v>
      </c>
    </row>
    <row r="478" spans="1:17" ht="21">
      <c r="L478">
        <v>477</v>
      </c>
      <c r="M478" s="192" t="s">
        <v>1501</v>
      </c>
      <c r="N478" s="138" t="s">
        <v>1504</v>
      </c>
      <c r="O478" s="155" t="s">
        <v>1505</v>
      </c>
      <c r="P478" s="131" t="s">
        <v>1680</v>
      </c>
      <c r="Q478" s="280" t="s">
        <v>2171</v>
      </c>
    </row>
    <row r="479" spans="1:17" ht="21.75" thickBot="1">
      <c r="L479">
        <v>478</v>
      </c>
      <c r="M479" s="193" t="s">
        <v>1501</v>
      </c>
      <c r="N479" s="141" t="s">
        <v>1506</v>
      </c>
      <c r="O479" s="156" t="s">
        <v>1507</v>
      </c>
      <c r="P479" s="133" t="s">
        <v>1680</v>
      </c>
      <c r="Q479" s="279" t="s">
        <v>2172</v>
      </c>
    </row>
    <row r="480" spans="1:17" ht="21">
      <c r="L480">
        <v>479</v>
      </c>
      <c r="M480" s="194" t="s">
        <v>1508</v>
      </c>
      <c r="N480" s="125" t="s">
        <v>1509</v>
      </c>
      <c r="O480" s="126" t="s">
        <v>1510</v>
      </c>
      <c r="P480" s="125" t="s">
        <v>1681</v>
      </c>
      <c r="Q480" s="278" t="s">
        <v>2173</v>
      </c>
    </row>
    <row r="481" spans="12:17" ht="21.75" thickBot="1">
      <c r="L481">
        <v>480</v>
      </c>
      <c r="M481" s="195" t="s">
        <v>1508</v>
      </c>
      <c r="N481" s="121" t="s">
        <v>1511</v>
      </c>
      <c r="O481" s="128" t="s">
        <v>1512</v>
      </c>
      <c r="P481" s="121" t="s">
        <v>1681</v>
      </c>
      <c r="Q481" s="277" t="s">
        <v>2174</v>
      </c>
    </row>
    <row r="482" spans="12:17" ht="21">
      <c r="L482">
        <v>481</v>
      </c>
      <c r="M482" s="191" t="s">
        <v>1513</v>
      </c>
      <c r="N482" s="113" t="s">
        <v>1514</v>
      </c>
      <c r="O482" s="154" t="s">
        <v>1515</v>
      </c>
      <c r="P482" s="129" t="s">
        <v>4</v>
      </c>
      <c r="Q482" s="275" t="s">
        <v>2175</v>
      </c>
    </row>
    <row r="483" spans="12:17" ht="21">
      <c r="L483">
        <v>482</v>
      </c>
      <c r="M483" s="192" t="s">
        <v>1513</v>
      </c>
      <c r="N483" s="138" t="s">
        <v>1516</v>
      </c>
      <c r="O483" s="155" t="s">
        <v>1517</v>
      </c>
      <c r="P483" s="131" t="s">
        <v>4</v>
      </c>
      <c r="Q483" s="280" t="s">
        <v>2176</v>
      </c>
    </row>
    <row r="484" spans="12:17" ht="21.75" thickBot="1">
      <c r="L484">
        <v>483</v>
      </c>
      <c r="M484" s="193" t="s">
        <v>1513</v>
      </c>
      <c r="N484" s="141" t="s">
        <v>1518</v>
      </c>
      <c r="O484" s="156" t="s">
        <v>1519</v>
      </c>
      <c r="P484" s="133" t="s">
        <v>4</v>
      </c>
      <c r="Q484" s="279" t="s">
        <v>2177</v>
      </c>
    </row>
    <row r="485" spans="12:17" ht="21">
      <c r="L485">
        <v>484</v>
      </c>
      <c r="M485" s="191" t="s">
        <v>1520</v>
      </c>
      <c r="N485" s="113" t="s">
        <v>1521</v>
      </c>
      <c r="O485" s="154" t="s">
        <v>1522</v>
      </c>
      <c r="P485" s="129" t="s">
        <v>33</v>
      </c>
      <c r="Q485" s="275" t="s">
        <v>2178</v>
      </c>
    </row>
    <row r="486" spans="12:17" ht="21">
      <c r="L486">
        <v>485</v>
      </c>
      <c r="M486" s="192" t="s">
        <v>1520</v>
      </c>
      <c r="N486" s="138" t="s">
        <v>1523</v>
      </c>
      <c r="O486" s="155" t="s">
        <v>1524</v>
      </c>
      <c r="P486" s="131" t="s">
        <v>33</v>
      </c>
      <c r="Q486" s="280" t="s">
        <v>2179</v>
      </c>
    </row>
    <row r="487" spans="12:17" ht="21.75" thickBot="1">
      <c r="L487">
        <v>486</v>
      </c>
      <c r="M487" s="193" t="s">
        <v>1520</v>
      </c>
      <c r="N487" s="141" t="s">
        <v>1525</v>
      </c>
      <c r="O487" s="156" t="s">
        <v>1526</v>
      </c>
      <c r="P487" s="133" t="s">
        <v>33</v>
      </c>
      <c r="Q487" s="279" t="s">
        <v>2180</v>
      </c>
    </row>
    <row r="488" spans="12:17" ht="21">
      <c r="L488">
        <v>487</v>
      </c>
      <c r="M488" s="191" t="s">
        <v>1527</v>
      </c>
      <c r="N488" s="113" t="s">
        <v>1528</v>
      </c>
      <c r="O488" s="154" t="s">
        <v>1529</v>
      </c>
      <c r="P488" s="129" t="s">
        <v>101</v>
      </c>
      <c r="Q488" s="275" t="s">
        <v>2181</v>
      </c>
    </row>
    <row r="489" spans="12:17" ht="21">
      <c r="L489">
        <v>488</v>
      </c>
      <c r="M489" s="192" t="s">
        <v>1527</v>
      </c>
      <c r="N489" s="138" t="s">
        <v>1530</v>
      </c>
      <c r="O489" s="155" t="s">
        <v>1531</v>
      </c>
      <c r="P489" s="131" t="s">
        <v>101</v>
      </c>
      <c r="Q489" s="280" t="s">
        <v>2182</v>
      </c>
    </row>
    <row r="490" spans="12:17" ht="21.75" thickBot="1">
      <c r="L490">
        <v>489</v>
      </c>
      <c r="M490" s="193" t="s">
        <v>1527</v>
      </c>
      <c r="N490" s="141" t="s">
        <v>1532</v>
      </c>
      <c r="O490" s="156" t="s">
        <v>1533</v>
      </c>
      <c r="P490" s="133" t="s">
        <v>101</v>
      </c>
      <c r="Q490" s="279" t="s">
        <v>2183</v>
      </c>
    </row>
    <row r="491" spans="12:17" ht="21">
      <c r="L491">
        <v>490</v>
      </c>
      <c r="M491" s="191" t="s">
        <v>1534</v>
      </c>
      <c r="N491" s="113" t="s">
        <v>1535</v>
      </c>
      <c r="O491" s="154" t="s">
        <v>1536</v>
      </c>
      <c r="P491" s="129" t="s">
        <v>50</v>
      </c>
      <c r="Q491" s="275" t="s">
        <v>2184</v>
      </c>
    </row>
    <row r="492" spans="12:17" ht="21.75" thickBot="1">
      <c r="L492">
        <v>491</v>
      </c>
      <c r="M492" s="193" t="s">
        <v>1534</v>
      </c>
      <c r="N492" s="141" t="s">
        <v>1537</v>
      </c>
      <c r="O492" s="156" t="s">
        <v>1538</v>
      </c>
      <c r="P492" s="133" t="s">
        <v>50</v>
      </c>
      <c r="Q492" s="279" t="s">
        <v>2185</v>
      </c>
    </row>
    <row r="493" spans="12:17" ht="21">
      <c r="L493">
        <v>492</v>
      </c>
      <c r="M493" s="196" t="s">
        <v>1539</v>
      </c>
      <c r="N493" s="113" t="s">
        <v>1540</v>
      </c>
      <c r="O493" s="154" t="s">
        <v>118</v>
      </c>
      <c r="P493" s="129" t="s">
        <v>6</v>
      </c>
      <c r="Q493" s="275" t="s">
        <v>2186</v>
      </c>
    </row>
    <row r="494" spans="12:17" ht="21">
      <c r="L494">
        <v>493</v>
      </c>
      <c r="M494" s="197" t="s">
        <v>1539</v>
      </c>
      <c r="N494" s="138" t="s">
        <v>1541</v>
      </c>
      <c r="O494" s="155" t="s">
        <v>1542</v>
      </c>
      <c r="P494" s="131" t="s">
        <v>6</v>
      </c>
      <c r="Q494" s="280" t="s">
        <v>2187</v>
      </c>
    </row>
    <row r="495" spans="12:17" ht="21.75" thickBot="1">
      <c r="L495">
        <v>494</v>
      </c>
      <c r="M495" s="198" t="s">
        <v>1539</v>
      </c>
      <c r="N495" s="141" t="s">
        <v>1543</v>
      </c>
      <c r="O495" s="156" t="s">
        <v>1544</v>
      </c>
      <c r="P495" s="133" t="s">
        <v>6</v>
      </c>
      <c r="Q495" s="279" t="s">
        <v>2188</v>
      </c>
    </row>
    <row r="496" spans="12:17" ht="21">
      <c r="L496">
        <v>495</v>
      </c>
      <c r="M496" s="194" t="s">
        <v>1545</v>
      </c>
      <c r="N496" s="129" t="s">
        <v>1546</v>
      </c>
      <c r="O496" s="154" t="s">
        <v>136</v>
      </c>
      <c r="P496" s="129" t="s">
        <v>103</v>
      </c>
      <c r="Q496" s="284" t="s">
        <v>2189</v>
      </c>
    </row>
    <row r="497" spans="12:17" ht="21">
      <c r="L497">
        <v>496</v>
      </c>
      <c r="M497" s="199" t="s">
        <v>1545</v>
      </c>
      <c r="N497" s="131" t="s">
        <v>1547</v>
      </c>
      <c r="O497" s="155" t="s">
        <v>1548</v>
      </c>
      <c r="P497" s="131" t="s">
        <v>103</v>
      </c>
      <c r="Q497" s="281" t="s">
        <v>2190</v>
      </c>
    </row>
    <row r="498" spans="12:17" ht="21">
      <c r="L498">
        <v>497</v>
      </c>
      <c r="M498" s="199" t="s">
        <v>1545</v>
      </c>
      <c r="N498" s="131" t="s">
        <v>1549</v>
      </c>
      <c r="O498" s="155" t="s">
        <v>1550</v>
      </c>
      <c r="P498" s="131" t="s">
        <v>103</v>
      </c>
      <c r="Q498" s="281" t="s">
        <v>2191</v>
      </c>
    </row>
    <row r="499" spans="12:17" ht="21.75" thickBot="1">
      <c r="L499">
        <v>498</v>
      </c>
      <c r="M499" s="195" t="s">
        <v>1545</v>
      </c>
      <c r="N499" s="133" t="s">
        <v>1551</v>
      </c>
      <c r="O499" s="156" t="s">
        <v>1552</v>
      </c>
      <c r="P499" s="133" t="s">
        <v>103</v>
      </c>
      <c r="Q499" s="282" t="s">
        <v>2192</v>
      </c>
    </row>
    <row r="500" spans="12:17" ht="21">
      <c r="L500">
        <v>499</v>
      </c>
      <c r="M500" s="200" t="s">
        <v>1553</v>
      </c>
      <c r="N500" s="201" t="s">
        <v>1554</v>
      </c>
      <c r="O500" s="202" t="s">
        <v>155</v>
      </c>
      <c r="P500" s="203" t="s">
        <v>1682</v>
      </c>
      <c r="Q500" s="247" t="s">
        <v>2193</v>
      </c>
    </row>
    <row r="501" spans="12:17" ht="21">
      <c r="L501">
        <v>500</v>
      </c>
      <c r="M501" s="204" t="s">
        <v>1553</v>
      </c>
      <c r="N501" s="205" t="s">
        <v>1555</v>
      </c>
      <c r="O501" s="206" t="s">
        <v>1556</v>
      </c>
      <c r="P501" s="207" t="s">
        <v>1682</v>
      </c>
      <c r="Q501" s="248" t="s">
        <v>2194</v>
      </c>
    </row>
    <row r="502" spans="12:17" ht="21">
      <c r="L502">
        <v>501</v>
      </c>
      <c r="M502" s="204" t="s">
        <v>1553</v>
      </c>
      <c r="N502" s="205" t="s">
        <v>1557</v>
      </c>
      <c r="O502" s="206" t="s">
        <v>1558</v>
      </c>
      <c r="P502" s="207" t="s">
        <v>1682</v>
      </c>
      <c r="Q502" s="270" t="s">
        <v>2195</v>
      </c>
    </row>
    <row r="503" spans="12:17" ht="21">
      <c r="L503">
        <v>502</v>
      </c>
      <c r="M503" s="204" t="s">
        <v>1553</v>
      </c>
      <c r="N503" s="205" t="s">
        <v>1559</v>
      </c>
      <c r="O503" s="206" t="s">
        <v>1560</v>
      </c>
      <c r="P503" s="207" t="s">
        <v>1682</v>
      </c>
      <c r="Q503" s="248" t="s">
        <v>2196</v>
      </c>
    </row>
    <row r="504" spans="12:17" ht="21">
      <c r="L504">
        <v>503</v>
      </c>
      <c r="M504" s="204" t="s">
        <v>1553</v>
      </c>
      <c r="N504" s="205" t="s">
        <v>1561</v>
      </c>
      <c r="O504" s="206" t="s">
        <v>1562</v>
      </c>
      <c r="P504" s="207" t="s">
        <v>1682</v>
      </c>
      <c r="Q504" s="248" t="s">
        <v>2194</v>
      </c>
    </row>
    <row r="505" spans="12:17" ht="21">
      <c r="L505">
        <v>504</v>
      </c>
      <c r="M505" s="204" t="s">
        <v>1553</v>
      </c>
      <c r="N505" s="205" t="s">
        <v>1563</v>
      </c>
      <c r="O505" s="206" t="s">
        <v>1564</v>
      </c>
      <c r="P505" s="207" t="s">
        <v>1682</v>
      </c>
      <c r="Q505" s="248" t="s">
        <v>2197</v>
      </c>
    </row>
    <row r="506" spans="12:17" ht="21">
      <c r="L506">
        <v>505</v>
      </c>
      <c r="M506" s="204" t="s">
        <v>1553</v>
      </c>
      <c r="N506" s="205" t="s">
        <v>1565</v>
      </c>
      <c r="O506" s="206" t="s">
        <v>1566</v>
      </c>
      <c r="P506" s="207" t="s">
        <v>1682</v>
      </c>
      <c r="Q506" s="248" t="s">
        <v>2198</v>
      </c>
    </row>
    <row r="507" spans="12:17" ht="21.75" thickBot="1">
      <c r="L507">
        <v>506</v>
      </c>
      <c r="M507" s="208" t="s">
        <v>1553</v>
      </c>
      <c r="N507" s="209" t="s">
        <v>1567</v>
      </c>
      <c r="O507" s="210" t="s">
        <v>1568</v>
      </c>
      <c r="P507" s="211" t="s">
        <v>1682</v>
      </c>
      <c r="Q507" s="249" t="s">
        <v>2199</v>
      </c>
    </row>
    <row r="508" spans="12:17" ht="21">
      <c r="L508">
        <v>507</v>
      </c>
      <c r="M508" s="212" t="s">
        <v>1569</v>
      </c>
      <c r="N508" s="201" t="s">
        <v>1570</v>
      </c>
      <c r="O508" s="202" t="s">
        <v>1571</v>
      </c>
      <c r="P508" s="203" t="s">
        <v>1683</v>
      </c>
      <c r="Q508" s="250" t="s">
        <v>2200</v>
      </c>
    </row>
    <row r="509" spans="12:17" ht="21">
      <c r="L509">
        <v>508</v>
      </c>
      <c r="M509" s="213" t="s">
        <v>1569</v>
      </c>
      <c r="N509" s="205" t="s">
        <v>1572</v>
      </c>
      <c r="O509" s="206" t="s">
        <v>1573</v>
      </c>
      <c r="P509" s="207" t="s">
        <v>1683</v>
      </c>
      <c r="Q509" s="255" t="s">
        <v>2201</v>
      </c>
    </row>
    <row r="510" spans="12:17" ht="21">
      <c r="L510">
        <v>509</v>
      </c>
      <c r="M510" s="213" t="s">
        <v>1569</v>
      </c>
      <c r="N510" s="205" t="s">
        <v>1574</v>
      </c>
      <c r="O510" s="206" t="s">
        <v>1575</v>
      </c>
      <c r="P510" s="207" t="s">
        <v>1683</v>
      </c>
      <c r="Q510" s="255" t="s">
        <v>2200</v>
      </c>
    </row>
    <row r="511" spans="12:17" ht="21">
      <c r="L511">
        <v>510</v>
      </c>
      <c r="M511" s="213" t="s">
        <v>1569</v>
      </c>
      <c r="N511" s="205" t="s">
        <v>1576</v>
      </c>
      <c r="O511" s="206" t="s">
        <v>1577</v>
      </c>
      <c r="P511" s="207" t="s">
        <v>1683</v>
      </c>
      <c r="Q511" s="255" t="s">
        <v>2201</v>
      </c>
    </row>
    <row r="512" spans="12:17" ht="21">
      <c r="L512">
        <v>511</v>
      </c>
      <c r="M512" s="213" t="s">
        <v>1569</v>
      </c>
      <c r="N512" s="205" t="s">
        <v>1578</v>
      </c>
      <c r="O512" s="206" t="s">
        <v>1579</v>
      </c>
      <c r="P512" s="207" t="s">
        <v>1683</v>
      </c>
      <c r="Q512" s="248" t="s">
        <v>2202</v>
      </c>
    </row>
    <row r="513" spans="12:17" ht="21">
      <c r="L513">
        <v>512</v>
      </c>
      <c r="M513" s="213" t="s">
        <v>1569</v>
      </c>
      <c r="N513" s="205" t="s">
        <v>1580</v>
      </c>
      <c r="O513" s="206" t="s">
        <v>1581</v>
      </c>
      <c r="P513" s="207" t="s">
        <v>1683</v>
      </c>
      <c r="Q513" s="255" t="s">
        <v>2203</v>
      </c>
    </row>
    <row r="514" spans="12:17" ht="21">
      <c r="L514">
        <v>513</v>
      </c>
      <c r="M514" s="213" t="s">
        <v>1569</v>
      </c>
      <c r="N514" s="205" t="s">
        <v>1582</v>
      </c>
      <c r="O514" s="206" t="s">
        <v>1583</v>
      </c>
      <c r="P514" s="207" t="s">
        <v>1683</v>
      </c>
      <c r="Q514" s="248" t="s">
        <v>2202</v>
      </c>
    </row>
    <row r="515" spans="12:17" ht="21.75" thickBot="1">
      <c r="L515">
        <v>514</v>
      </c>
      <c r="M515" s="214" t="s">
        <v>1569</v>
      </c>
      <c r="N515" s="209" t="s">
        <v>1584</v>
      </c>
      <c r="O515" s="210" t="s">
        <v>1585</v>
      </c>
      <c r="P515" s="211" t="s">
        <v>1683</v>
      </c>
      <c r="Q515" s="256" t="s">
        <v>2204</v>
      </c>
    </row>
    <row r="516" spans="12:17" ht="21">
      <c r="L516">
        <v>515</v>
      </c>
      <c r="M516" s="212" t="s">
        <v>1586</v>
      </c>
      <c r="N516" s="201" t="s">
        <v>1587</v>
      </c>
      <c r="O516" s="215" t="s">
        <v>1588</v>
      </c>
      <c r="P516" s="216" t="s">
        <v>1684</v>
      </c>
      <c r="Q516" s="250" t="s">
        <v>2205</v>
      </c>
    </row>
    <row r="517" spans="12:17" ht="21">
      <c r="L517">
        <v>516</v>
      </c>
      <c r="M517" s="213" t="s">
        <v>1586</v>
      </c>
      <c r="N517" s="205" t="s">
        <v>1589</v>
      </c>
      <c r="O517" s="217" t="s">
        <v>1590</v>
      </c>
      <c r="P517" s="218" t="s">
        <v>1684</v>
      </c>
      <c r="Q517" s="255" t="s">
        <v>2206</v>
      </c>
    </row>
    <row r="518" spans="12:17" ht="21">
      <c r="L518">
        <v>517</v>
      </c>
      <c r="M518" s="213" t="s">
        <v>1586</v>
      </c>
      <c r="N518" s="205" t="s">
        <v>1591</v>
      </c>
      <c r="O518" s="217" t="s">
        <v>1592</v>
      </c>
      <c r="P518" s="218" t="s">
        <v>1684</v>
      </c>
      <c r="Q518" s="255" t="s">
        <v>2207</v>
      </c>
    </row>
    <row r="519" spans="12:17" ht="21">
      <c r="L519">
        <v>518</v>
      </c>
      <c r="M519" s="213" t="s">
        <v>1586</v>
      </c>
      <c r="N519" s="205" t="s">
        <v>1593</v>
      </c>
      <c r="O519" s="217" t="s">
        <v>1594</v>
      </c>
      <c r="P519" s="218" t="s">
        <v>1684</v>
      </c>
      <c r="Q519" s="255" t="s">
        <v>2207</v>
      </c>
    </row>
    <row r="520" spans="12:17" ht="21">
      <c r="L520">
        <v>519</v>
      </c>
      <c r="M520" s="213" t="s">
        <v>1586</v>
      </c>
      <c r="N520" s="205" t="s">
        <v>1595</v>
      </c>
      <c r="O520" s="217" t="s">
        <v>1596</v>
      </c>
      <c r="P520" s="218" t="s">
        <v>1684</v>
      </c>
      <c r="Q520" s="255" t="s">
        <v>2208</v>
      </c>
    </row>
    <row r="521" spans="12:17" ht="21.75" thickBot="1">
      <c r="L521">
        <v>520</v>
      </c>
      <c r="M521" s="214" t="s">
        <v>1586</v>
      </c>
      <c r="N521" s="209" t="s">
        <v>1597</v>
      </c>
      <c r="O521" s="219" t="s">
        <v>1598</v>
      </c>
      <c r="P521" s="220" t="s">
        <v>1684</v>
      </c>
      <c r="Q521" s="256" t="s">
        <v>2209</v>
      </c>
    </row>
    <row r="522" spans="12:17" ht="23.25">
      <c r="L522">
        <v>521</v>
      </c>
      <c r="M522" s="221" t="s">
        <v>1599</v>
      </c>
      <c r="N522" s="125" t="s">
        <v>1600</v>
      </c>
      <c r="O522" s="202" t="s">
        <v>1601</v>
      </c>
      <c r="P522" s="203" t="s">
        <v>1685</v>
      </c>
      <c r="Q522" s="278" t="s">
        <v>2210</v>
      </c>
    </row>
    <row r="523" spans="12:17" ht="23.25">
      <c r="L523">
        <v>522</v>
      </c>
      <c r="M523" s="222" t="s">
        <v>1599</v>
      </c>
      <c r="N523" s="117" t="s">
        <v>1602</v>
      </c>
      <c r="O523" s="206" t="s">
        <v>1603</v>
      </c>
      <c r="P523" s="207" t="s">
        <v>1685</v>
      </c>
      <c r="Q523" s="276" t="s">
        <v>2211</v>
      </c>
    </row>
    <row r="524" spans="12:17" ht="23.25">
      <c r="L524">
        <v>523</v>
      </c>
      <c r="M524" s="222" t="s">
        <v>1599</v>
      </c>
      <c r="N524" s="117" t="s">
        <v>1604</v>
      </c>
      <c r="O524" s="206" t="s">
        <v>1605</v>
      </c>
      <c r="P524" s="207" t="s">
        <v>1685</v>
      </c>
      <c r="Q524" s="276" t="s">
        <v>2212</v>
      </c>
    </row>
    <row r="525" spans="12:17" ht="24" thickBot="1">
      <c r="L525">
        <v>524</v>
      </c>
      <c r="M525" s="223" t="s">
        <v>1599</v>
      </c>
      <c r="N525" s="121" t="s">
        <v>1606</v>
      </c>
      <c r="O525" s="210" t="s">
        <v>1607</v>
      </c>
      <c r="P525" s="211" t="s">
        <v>1685</v>
      </c>
      <c r="Q525" s="277" t="s">
        <v>2213</v>
      </c>
    </row>
    <row r="526" spans="12:17" ht="21">
      <c r="L526">
        <v>525</v>
      </c>
      <c r="M526" s="200" t="s">
        <v>1608</v>
      </c>
      <c r="N526" s="125" t="s">
        <v>1609</v>
      </c>
      <c r="O526" s="202" t="s">
        <v>1610</v>
      </c>
      <c r="P526" s="203" t="s">
        <v>1686</v>
      </c>
      <c r="Q526" s="278" t="s">
        <v>2214</v>
      </c>
    </row>
    <row r="527" spans="12:17" ht="21">
      <c r="L527">
        <v>526</v>
      </c>
      <c r="M527" s="204" t="s">
        <v>1608</v>
      </c>
      <c r="N527" s="117" t="s">
        <v>1611</v>
      </c>
      <c r="O527" s="206" t="s">
        <v>1612</v>
      </c>
      <c r="P527" s="207" t="s">
        <v>1686</v>
      </c>
      <c r="Q527" s="276" t="s">
        <v>2215</v>
      </c>
    </row>
    <row r="528" spans="12:17" ht="21">
      <c r="L528">
        <v>527</v>
      </c>
      <c r="M528" s="204" t="s">
        <v>1608</v>
      </c>
      <c r="N528" s="117" t="s">
        <v>1613</v>
      </c>
      <c r="O528" s="206" t="s">
        <v>1614</v>
      </c>
      <c r="P528" s="207" t="s">
        <v>1686</v>
      </c>
      <c r="Q528" s="276" t="s">
        <v>2216</v>
      </c>
    </row>
    <row r="529" spans="12:17" ht="21.75" thickBot="1">
      <c r="L529">
        <v>528</v>
      </c>
      <c r="M529" s="208" t="s">
        <v>1608</v>
      </c>
      <c r="N529" s="121" t="s">
        <v>1615</v>
      </c>
      <c r="O529" s="210" t="s">
        <v>1616</v>
      </c>
      <c r="P529" s="211" t="s">
        <v>1686</v>
      </c>
      <c r="Q529" s="277" t="s">
        <v>2217</v>
      </c>
    </row>
    <row r="530" spans="12:17" ht="21">
      <c r="L530">
        <v>529</v>
      </c>
      <c r="M530" s="200" t="s">
        <v>1617</v>
      </c>
      <c r="N530" s="125" t="s">
        <v>1618</v>
      </c>
      <c r="O530" s="202" t="s">
        <v>1619</v>
      </c>
      <c r="P530" s="203" t="s">
        <v>1687</v>
      </c>
      <c r="Q530" s="278" t="s">
        <v>2218</v>
      </c>
    </row>
    <row r="531" spans="12:17" ht="21.75" thickBot="1">
      <c r="L531">
        <v>530</v>
      </c>
      <c r="M531" s="208" t="s">
        <v>1617</v>
      </c>
      <c r="N531" s="121" t="s">
        <v>1620</v>
      </c>
      <c r="O531" s="210" t="s">
        <v>1621</v>
      </c>
      <c r="P531" s="211" t="s">
        <v>1687</v>
      </c>
      <c r="Q531" s="277" t="s">
        <v>2219</v>
      </c>
    </row>
    <row r="532" spans="12:17" ht="21">
      <c r="L532">
        <v>531</v>
      </c>
      <c r="M532" s="200" t="s">
        <v>1622</v>
      </c>
      <c r="N532" s="125" t="s">
        <v>1623</v>
      </c>
      <c r="O532" s="202" t="s">
        <v>1624</v>
      </c>
      <c r="P532" s="203" t="s">
        <v>1688</v>
      </c>
      <c r="Q532" s="278" t="s">
        <v>2220</v>
      </c>
    </row>
    <row r="533" spans="12:17" ht="21.75" thickBot="1">
      <c r="L533">
        <v>532</v>
      </c>
      <c r="M533" s="208" t="s">
        <v>1622</v>
      </c>
      <c r="N533" s="121" t="s">
        <v>1625</v>
      </c>
      <c r="O533" s="210" t="s">
        <v>1626</v>
      </c>
      <c r="P533" s="211" t="s">
        <v>1688</v>
      </c>
      <c r="Q533" s="277" t="s">
        <v>2221</v>
      </c>
    </row>
    <row r="534" spans="12:17" ht="21">
      <c r="L534">
        <v>533</v>
      </c>
      <c r="M534" s="200" t="s">
        <v>1627</v>
      </c>
      <c r="N534" s="125" t="s">
        <v>1628</v>
      </c>
      <c r="O534" s="202" t="s">
        <v>1629</v>
      </c>
      <c r="P534" s="203" t="s">
        <v>1689</v>
      </c>
      <c r="Q534" s="278" t="s">
        <v>2222</v>
      </c>
    </row>
    <row r="535" spans="12:17" ht="21.75" thickBot="1">
      <c r="L535">
        <v>534</v>
      </c>
      <c r="M535" s="208" t="s">
        <v>1627</v>
      </c>
      <c r="N535" s="121" t="s">
        <v>1630</v>
      </c>
      <c r="O535" s="210" t="s">
        <v>1631</v>
      </c>
      <c r="P535" s="211" t="s">
        <v>1689</v>
      </c>
      <c r="Q535" s="277" t="s">
        <v>2223</v>
      </c>
    </row>
    <row r="536" spans="12:17" ht="21">
      <c r="L536">
        <v>535</v>
      </c>
      <c r="M536" s="200" t="s">
        <v>1632</v>
      </c>
      <c r="N536" s="125" t="s">
        <v>1633</v>
      </c>
      <c r="O536" s="202" t="s">
        <v>1634</v>
      </c>
      <c r="P536" s="203" t="s">
        <v>1690</v>
      </c>
      <c r="Q536" s="278" t="s">
        <v>2224</v>
      </c>
    </row>
    <row r="537" spans="12:17" ht="21">
      <c r="L537">
        <v>536</v>
      </c>
      <c r="M537" s="204" t="s">
        <v>1632</v>
      </c>
      <c r="N537" s="117" t="s">
        <v>1635</v>
      </c>
      <c r="O537" s="206" t="s">
        <v>1636</v>
      </c>
      <c r="P537" s="207" t="s">
        <v>1690</v>
      </c>
      <c r="Q537" s="276" t="s">
        <v>2225</v>
      </c>
    </row>
    <row r="538" spans="12:17" ht="21">
      <c r="L538">
        <v>537</v>
      </c>
      <c r="M538" s="204" t="s">
        <v>1632</v>
      </c>
      <c r="N538" s="117" t="s">
        <v>1637</v>
      </c>
      <c r="O538" s="206" t="s">
        <v>1638</v>
      </c>
      <c r="P538" s="207" t="s">
        <v>1690</v>
      </c>
      <c r="Q538" s="276" t="s">
        <v>2226</v>
      </c>
    </row>
    <row r="539" spans="12:17" ht="21.75" thickBot="1">
      <c r="L539">
        <v>538</v>
      </c>
      <c r="M539" s="208" t="s">
        <v>1632</v>
      </c>
      <c r="N539" s="121" t="s">
        <v>1639</v>
      </c>
      <c r="O539" s="210" t="s">
        <v>1640</v>
      </c>
      <c r="P539" s="211" t="s">
        <v>1690</v>
      </c>
      <c r="Q539" s="277" t="s">
        <v>2227</v>
      </c>
    </row>
    <row r="540" spans="12:17" ht="21">
      <c r="L540">
        <v>539</v>
      </c>
      <c r="M540" s="200" t="s">
        <v>1641</v>
      </c>
      <c r="N540" s="125" t="s">
        <v>1642</v>
      </c>
      <c r="O540" s="202" t="s">
        <v>1643</v>
      </c>
      <c r="P540" s="203" t="s">
        <v>1691</v>
      </c>
      <c r="Q540" s="278" t="s">
        <v>2228</v>
      </c>
    </row>
    <row r="541" spans="12:17" ht="21">
      <c r="L541">
        <v>540</v>
      </c>
      <c r="M541" s="204" t="s">
        <v>1641</v>
      </c>
      <c r="N541" s="117" t="s">
        <v>1644</v>
      </c>
      <c r="O541" s="206" t="s">
        <v>1645</v>
      </c>
      <c r="P541" s="207" t="s">
        <v>1691</v>
      </c>
      <c r="Q541" s="276" t="s">
        <v>2229</v>
      </c>
    </row>
    <row r="542" spans="12:17" ht="21">
      <c r="L542">
        <v>541</v>
      </c>
      <c r="M542" s="204" t="s">
        <v>1641</v>
      </c>
      <c r="N542" s="117" t="s">
        <v>1646</v>
      </c>
      <c r="O542" s="206" t="s">
        <v>1647</v>
      </c>
      <c r="P542" s="207" t="s">
        <v>1691</v>
      </c>
      <c r="Q542" s="276" t="s">
        <v>2230</v>
      </c>
    </row>
    <row r="543" spans="12:17" ht="21.75" thickBot="1">
      <c r="L543">
        <v>542</v>
      </c>
      <c r="M543" s="208" t="s">
        <v>1641</v>
      </c>
      <c r="N543" s="121" t="s">
        <v>1648</v>
      </c>
      <c r="O543" s="210" t="s">
        <v>1649</v>
      </c>
      <c r="P543" s="211" t="s">
        <v>1691</v>
      </c>
      <c r="Q543" s="277" t="s">
        <v>2231</v>
      </c>
    </row>
    <row r="544" spans="12:17" ht="21">
      <c r="L544">
        <v>543</v>
      </c>
      <c r="M544" s="200" t="s">
        <v>1650</v>
      </c>
      <c r="N544" s="125" t="s">
        <v>1651</v>
      </c>
      <c r="O544" s="202" t="s">
        <v>1652</v>
      </c>
      <c r="P544" s="203" t="s">
        <v>1692</v>
      </c>
      <c r="Q544" s="278" t="s">
        <v>2232</v>
      </c>
    </row>
    <row r="545" spans="12:17" ht="21">
      <c r="L545">
        <v>544</v>
      </c>
      <c r="M545" s="204" t="s">
        <v>1650</v>
      </c>
      <c r="N545" s="117" t="s">
        <v>1653</v>
      </c>
      <c r="O545" s="206" t="s">
        <v>1654</v>
      </c>
      <c r="P545" s="207" t="s">
        <v>1692</v>
      </c>
      <c r="Q545" s="276" t="s">
        <v>2233</v>
      </c>
    </row>
    <row r="546" spans="12:17" ht="21">
      <c r="L546">
        <v>545</v>
      </c>
      <c r="M546" s="204" t="s">
        <v>1650</v>
      </c>
      <c r="N546" s="117" t="s">
        <v>1655</v>
      </c>
      <c r="O546" s="206" t="s">
        <v>1656</v>
      </c>
      <c r="P546" s="207" t="s">
        <v>1692</v>
      </c>
      <c r="Q546" s="276" t="s">
        <v>2234</v>
      </c>
    </row>
    <row r="547" spans="12:17" ht="21.75" thickBot="1">
      <c r="L547">
        <v>546</v>
      </c>
      <c r="M547" s="208" t="s">
        <v>1650</v>
      </c>
      <c r="N547" s="121" t="s">
        <v>1657</v>
      </c>
      <c r="O547" s="210" t="s">
        <v>1658</v>
      </c>
      <c r="P547" s="211" t="s">
        <v>1692</v>
      </c>
      <c r="Q547" s="277" t="s">
        <v>2235</v>
      </c>
    </row>
    <row r="548" spans="12:17" ht="21.75" thickBot="1">
      <c r="L548">
        <v>547</v>
      </c>
      <c r="M548" s="208" t="s">
        <v>1650</v>
      </c>
      <c r="N548" s="121" t="s">
        <v>1657</v>
      </c>
      <c r="O548" s="210" t="s">
        <v>1658</v>
      </c>
      <c r="P548" s="211" t="s">
        <v>1692</v>
      </c>
    </row>
    <row r="549" spans="12:17" ht="20.25">
      <c r="L549">
        <v>548</v>
      </c>
      <c r="M549" s="15" t="s">
        <v>74</v>
      </c>
      <c r="N549" s="16" t="s">
        <v>321</v>
      </c>
      <c r="O549" s="16" t="s">
        <v>322</v>
      </c>
      <c r="P549" s="246" t="s">
        <v>1</v>
      </c>
      <c r="Q549" s="11" t="s">
        <v>227</v>
      </c>
    </row>
    <row r="550" spans="12:17" ht="21" thickBot="1">
      <c r="L550">
        <v>549</v>
      </c>
      <c r="M550" s="17" t="s">
        <v>242</v>
      </c>
      <c r="N550" s="18" t="s">
        <v>245</v>
      </c>
      <c r="O550" s="18" t="s">
        <v>331</v>
      </c>
      <c r="P550" s="246" t="s">
        <v>1</v>
      </c>
      <c r="Q550" s="234" t="s">
        <v>228</v>
      </c>
    </row>
    <row r="551" spans="12:17" ht="20.25">
      <c r="L551">
        <v>550</v>
      </c>
      <c r="M551" s="19" t="s">
        <v>247</v>
      </c>
      <c r="N551" s="10" t="s">
        <v>248</v>
      </c>
      <c r="O551" s="10" t="s">
        <v>332</v>
      </c>
      <c r="P551" s="246" t="s">
        <v>1</v>
      </c>
      <c r="Q551" s="14" t="s">
        <v>230</v>
      </c>
    </row>
    <row r="552" spans="12:17" ht="21" thickBot="1">
      <c r="L552">
        <v>551</v>
      </c>
      <c r="M552" s="17" t="s">
        <v>247</v>
      </c>
      <c r="N552" s="18" t="s">
        <v>250</v>
      </c>
      <c r="O552" s="18" t="s">
        <v>333</v>
      </c>
      <c r="P552" s="246" t="s">
        <v>1</v>
      </c>
      <c r="Q552" s="234" t="s">
        <v>232</v>
      </c>
    </row>
    <row r="553" spans="12:17" ht="20.25">
      <c r="L553">
        <v>552</v>
      </c>
      <c r="M553" s="19" t="s">
        <v>247</v>
      </c>
      <c r="N553" s="10" t="s">
        <v>252</v>
      </c>
      <c r="O553" s="10" t="s">
        <v>334</v>
      </c>
      <c r="P553" s="246" t="s">
        <v>1</v>
      </c>
      <c r="Q553" s="14" t="s">
        <v>235</v>
      </c>
    </row>
    <row r="554" spans="12:17" ht="21" thickBot="1">
      <c r="L554">
        <v>553</v>
      </c>
      <c r="M554" s="17" t="s">
        <v>247</v>
      </c>
      <c r="N554" s="18" t="s">
        <v>254</v>
      </c>
      <c r="O554" s="18" t="s">
        <v>335</v>
      </c>
      <c r="P554" s="246" t="s">
        <v>1</v>
      </c>
      <c r="Q554" s="234" t="s">
        <v>237</v>
      </c>
    </row>
    <row r="555" spans="12:17" ht="20.25">
      <c r="L555">
        <v>554</v>
      </c>
      <c r="M555" s="19" t="s">
        <v>256</v>
      </c>
      <c r="N555" s="10" t="s">
        <v>257</v>
      </c>
      <c r="O555" s="10" t="s">
        <v>336</v>
      </c>
      <c r="P555" s="246" t="s">
        <v>1</v>
      </c>
      <c r="Q555" s="14" t="s">
        <v>239</v>
      </c>
    </row>
    <row r="556" spans="12:17" ht="21" thickBot="1">
      <c r="L556">
        <v>555</v>
      </c>
      <c r="M556" s="17" t="s">
        <v>256</v>
      </c>
      <c r="N556" s="18" t="s">
        <v>259</v>
      </c>
      <c r="O556" s="18" t="s">
        <v>337</v>
      </c>
      <c r="P556" s="246" t="s">
        <v>1</v>
      </c>
      <c r="Q556" s="234" t="s">
        <v>241</v>
      </c>
    </row>
    <row r="557" spans="12:17" ht="20.25">
      <c r="L557">
        <v>556</v>
      </c>
      <c r="M557" s="19" t="s">
        <v>84</v>
      </c>
      <c r="N557" s="10" t="s">
        <v>261</v>
      </c>
      <c r="O557" s="10" t="s">
        <v>338</v>
      </c>
      <c r="P557" s="246" t="s">
        <v>1</v>
      </c>
      <c r="Q557" s="14" t="s">
        <v>244</v>
      </c>
    </row>
    <row r="558" spans="12:17" ht="21" thickBot="1">
      <c r="L558">
        <v>557</v>
      </c>
      <c r="M558" s="17" t="s">
        <v>84</v>
      </c>
      <c r="N558" s="18" t="s">
        <v>263</v>
      </c>
      <c r="O558" s="18" t="s">
        <v>339</v>
      </c>
      <c r="P558" s="246" t="s">
        <v>1</v>
      </c>
      <c r="Q558" s="234" t="s">
        <v>246</v>
      </c>
    </row>
    <row r="559" spans="12:17" ht="20.25">
      <c r="L559">
        <v>558</v>
      </c>
      <c r="M559" s="19" t="s">
        <v>265</v>
      </c>
      <c r="N559" s="10" t="s">
        <v>266</v>
      </c>
      <c r="O559" s="10" t="s">
        <v>340</v>
      </c>
      <c r="P559" s="246" t="s">
        <v>1</v>
      </c>
      <c r="Q559" s="14" t="s">
        <v>249</v>
      </c>
    </row>
    <row r="560" spans="12:17" ht="20.25">
      <c r="L560">
        <v>559</v>
      </c>
      <c r="M560" s="20" t="s">
        <v>74</v>
      </c>
      <c r="N560" s="12" t="s">
        <v>226</v>
      </c>
      <c r="O560" s="12" t="s">
        <v>323</v>
      </c>
      <c r="P560" s="246" t="s">
        <v>1</v>
      </c>
      <c r="Q560" s="13" t="s">
        <v>251</v>
      </c>
    </row>
    <row r="561" spans="12:17" ht="20.25">
      <c r="L561">
        <v>560</v>
      </c>
      <c r="M561" s="20" t="s">
        <v>265</v>
      </c>
      <c r="N561" s="12" t="s">
        <v>268</v>
      </c>
      <c r="O561" s="12" t="s">
        <v>341</v>
      </c>
      <c r="P561" s="246" t="s">
        <v>1</v>
      </c>
      <c r="Q561" s="13" t="s">
        <v>253</v>
      </c>
    </row>
    <row r="562" spans="12:17" ht="21" thickBot="1">
      <c r="L562">
        <v>561</v>
      </c>
      <c r="M562" s="17" t="s">
        <v>270</v>
      </c>
      <c r="N562" s="18" t="s">
        <v>271</v>
      </c>
      <c r="O562" s="18" t="s">
        <v>342</v>
      </c>
      <c r="P562" s="246" t="s">
        <v>1</v>
      </c>
      <c r="Q562" s="234" t="s">
        <v>255</v>
      </c>
    </row>
    <row r="563" spans="12:17" ht="20.25">
      <c r="L563">
        <v>562</v>
      </c>
      <c r="M563" s="19" t="s">
        <v>270</v>
      </c>
      <c r="N563" s="10" t="s">
        <v>273</v>
      </c>
      <c r="O563" s="10" t="s">
        <v>343</v>
      </c>
      <c r="P563" s="246" t="s">
        <v>1</v>
      </c>
      <c r="Q563" s="14" t="s">
        <v>258</v>
      </c>
    </row>
    <row r="564" spans="12:17" ht="21" thickBot="1">
      <c r="L564">
        <v>563</v>
      </c>
      <c r="M564" s="17" t="s">
        <v>270</v>
      </c>
      <c r="N564" s="18" t="s">
        <v>275</v>
      </c>
      <c r="O564" s="18" t="s">
        <v>344</v>
      </c>
      <c r="P564" s="246" t="s">
        <v>1</v>
      </c>
      <c r="Q564" s="234" t="s">
        <v>260</v>
      </c>
    </row>
    <row r="565" spans="12:17" ht="20.25">
      <c r="L565">
        <v>564</v>
      </c>
      <c r="M565" s="19" t="s">
        <v>270</v>
      </c>
      <c r="N565" s="10" t="s">
        <v>277</v>
      </c>
      <c r="O565" s="10" t="s">
        <v>345</v>
      </c>
      <c r="P565" s="246" t="s">
        <v>1</v>
      </c>
      <c r="Q565" s="14" t="s">
        <v>262</v>
      </c>
    </row>
    <row r="566" spans="12:17" ht="21" thickBot="1">
      <c r="L566">
        <v>565</v>
      </c>
      <c r="M566" s="17" t="s">
        <v>270</v>
      </c>
      <c r="N566" s="18" t="s">
        <v>279</v>
      </c>
      <c r="O566" s="18" t="s">
        <v>346</v>
      </c>
      <c r="P566" s="246" t="s">
        <v>1</v>
      </c>
      <c r="Q566" s="234" t="s">
        <v>264</v>
      </c>
    </row>
    <row r="567" spans="12:17" ht="20.25">
      <c r="L567">
        <v>566</v>
      </c>
      <c r="M567" s="19" t="s">
        <v>281</v>
      </c>
      <c r="N567" s="10" t="s">
        <v>282</v>
      </c>
      <c r="O567" s="10" t="s">
        <v>347</v>
      </c>
      <c r="P567" s="246" t="s">
        <v>1</v>
      </c>
      <c r="Q567" s="14" t="s">
        <v>267</v>
      </c>
    </row>
    <row r="568" spans="12:17" ht="21" thickBot="1">
      <c r="L568">
        <v>567</v>
      </c>
      <c r="M568" s="17" t="s">
        <v>281</v>
      </c>
      <c r="N568" s="18" t="s">
        <v>284</v>
      </c>
      <c r="O568" s="18" t="s">
        <v>348</v>
      </c>
      <c r="P568" s="246" t="s">
        <v>1</v>
      </c>
      <c r="Q568" s="234" t="s">
        <v>269</v>
      </c>
    </row>
    <row r="569" spans="12:17" ht="20.25">
      <c r="L569">
        <v>568</v>
      </c>
      <c r="M569" s="19" t="s">
        <v>286</v>
      </c>
      <c r="N569" s="10" t="s">
        <v>287</v>
      </c>
      <c r="O569" s="10" t="s">
        <v>349</v>
      </c>
      <c r="P569" s="246" t="s">
        <v>1</v>
      </c>
      <c r="Q569" s="14" t="s">
        <v>272</v>
      </c>
    </row>
    <row r="570" spans="12:17" ht="20.25">
      <c r="L570">
        <v>569</v>
      </c>
      <c r="M570" s="20" t="s">
        <v>286</v>
      </c>
      <c r="N570" s="12" t="s">
        <v>289</v>
      </c>
      <c r="O570" s="12" t="s">
        <v>350</v>
      </c>
      <c r="P570" s="246" t="s">
        <v>1</v>
      </c>
      <c r="Q570" s="13" t="s">
        <v>274</v>
      </c>
    </row>
    <row r="571" spans="12:17" ht="20.25">
      <c r="L571">
        <v>570</v>
      </c>
      <c r="M571" s="20" t="s">
        <v>229</v>
      </c>
      <c r="N571" s="12" t="s">
        <v>203</v>
      </c>
      <c r="O571" s="12" t="s">
        <v>324</v>
      </c>
      <c r="P571" s="246" t="s">
        <v>1</v>
      </c>
      <c r="Q571" s="13" t="s">
        <v>276</v>
      </c>
    </row>
    <row r="572" spans="12:17" ht="20.25">
      <c r="L572">
        <v>571</v>
      </c>
      <c r="M572" s="20" t="s">
        <v>291</v>
      </c>
      <c r="N572" s="12" t="s">
        <v>292</v>
      </c>
      <c r="O572" s="12" t="s">
        <v>351</v>
      </c>
      <c r="P572" s="246" t="s">
        <v>1</v>
      </c>
      <c r="Q572" s="13" t="s">
        <v>278</v>
      </c>
    </row>
    <row r="573" spans="12:17" ht="21" thickBot="1">
      <c r="L573">
        <v>572</v>
      </c>
      <c r="M573" s="17" t="s">
        <v>291</v>
      </c>
      <c r="N573" s="18" t="s">
        <v>294</v>
      </c>
      <c r="O573" s="18" t="s">
        <v>352</v>
      </c>
      <c r="P573" s="246" t="s">
        <v>1</v>
      </c>
      <c r="Q573" s="234" t="s">
        <v>280</v>
      </c>
    </row>
    <row r="574" spans="12:17" ht="20.25">
      <c r="L574">
        <v>573</v>
      </c>
      <c r="M574" s="19" t="s">
        <v>296</v>
      </c>
      <c r="N574" s="10" t="s">
        <v>197</v>
      </c>
      <c r="O574" s="10" t="s">
        <v>353</v>
      </c>
      <c r="P574" s="246" t="s">
        <v>1</v>
      </c>
      <c r="Q574" s="14" t="s">
        <v>283</v>
      </c>
    </row>
    <row r="575" spans="12:17" ht="21" thickBot="1">
      <c r="L575">
        <v>574</v>
      </c>
      <c r="M575" s="17" t="s">
        <v>87</v>
      </c>
      <c r="N575" s="18" t="s">
        <v>206</v>
      </c>
      <c r="O575" s="18" t="s">
        <v>354</v>
      </c>
      <c r="P575" s="246" t="s">
        <v>1</v>
      </c>
      <c r="Q575" s="234" t="s">
        <v>285</v>
      </c>
    </row>
    <row r="576" spans="12:17" ht="20.25">
      <c r="L576">
        <v>575</v>
      </c>
      <c r="M576" s="19" t="s">
        <v>87</v>
      </c>
      <c r="N576" s="10" t="s">
        <v>299</v>
      </c>
      <c r="O576" s="10" t="s">
        <v>355</v>
      </c>
      <c r="P576" s="246" t="s">
        <v>1</v>
      </c>
      <c r="Q576" s="14" t="s">
        <v>288</v>
      </c>
    </row>
    <row r="577" spans="12:17" ht="21" thickBot="1">
      <c r="L577">
        <v>576</v>
      </c>
      <c r="M577" s="17" t="s">
        <v>88</v>
      </c>
      <c r="N577" s="18" t="s">
        <v>301</v>
      </c>
      <c r="O577" s="18" t="s">
        <v>356</v>
      </c>
      <c r="P577" s="246" t="s">
        <v>1</v>
      </c>
      <c r="Q577" s="234" t="s">
        <v>290</v>
      </c>
    </row>
    <row r="578" spans="12:17" ht="20.25">
      <c r="L578">
        <v>577</v>
      </c>
      <c r="M578" s="19" t="s">
        <v>88</v>
      </c>
      <c r="N578" s="10" t="s">
        <v>303</v>
      </c>
      <c r="O578" s="10" t="s">
        <v>357</v>
      </c>
      <c r="P578" s="246" t="s">
        <v>1</v>
      </c>
      <c r="Q578" s="14" t="s">
        <v>293</v>
      </c>
    </row>
    <row r="579" spans="12:17" ht="21" thickBot="1">
      <c r="L579">
        <v>578</v>
      </c>
      <c r="M579" s="17" t="s">
        <v>305</v>
      </c>
      <c r="N579" s="18" t="s">
        <v>196</v>
      </c>
      <c r="O579" s="18" t="s">
        <v>358</v>
      </c>
      <c r="P579" s="246" t="s">
        <v>1</v>
      </c>
      <c r="Q579" s="234" t="s">
        <v>295</v>
      </c>
    </row>
    <row r="580" spans="12:17" ht="21" thickBot="1">
      <c r="L580">
        <v>579</v>
      </c>
      <c r="M580" s="21" t="s">
        <v>305</v>
      </c>
      <c r="N580" s="22" t="s">
        <v>307</v>
      </c>
      <c r="O580" s="22" t="s">
        <v>359</v>
      </c>
      <c r="P580" s="246" t="s">
        <v>1</v>
      </c>
      <c r="Q580" s="235" t="s">
        <v>297</v>
      </c>
    </row>
    <row r="581" spans="12:17" ht="20.25">
      <c r="L581">
        <v>580</v>
      </c>
      <c r="M581" s="15" t="s">
        <v>309</v>
      </c>
      <c r="N581" s="16" t="s">
        <v>182</v>
      </c>
      <c r="O581" s="16" t="s">
        <v>360</v>
      </c>
      <c r="P581" s="246" t="s">
        <v>1</v>
      </c>
      <c r="Q581" s="11" t="s">
        <v>298</v>
      </c>
    </row>
    <row r="582" spans="12:17" ht="21" thickBot="1">
      <c r="L582">
        <v>581</v>
      </c>
      <c r="M582" s="17" t="s">
        <v>229</v>
      </c>
      <c r="N582" s="18" t="s">
        <v>231</v>
      </c>
      <c r="O582" s="18" t="s">
        <v>325</v>
      </c>
      <c r="P582" s="246" t="s">
        <v>1</v>
      </c>
      <c r="Q582" s="234" t="s">
        <v>300</v>
      </c>
    </row>
    <row r="583" spans="12:17" ht="20.25">
      <c r="L583">
        <v>582</v>
      </c>
      <c r="M583" s="19" t="s">
        <v>309</v>
      </c>
      <c r="N583" s="10" t="s">
        <v>183</v>
      </c>
      <c r="O583" s="10" t="s">
        <v>361</v>
      </c>
      <c r="P583" s="246" t="s">
        <v>1</v>
      </c>
      <c r="Q583" s="14" t="s">
        <v>302</v>
      </c>
    </row>
    <row r="584" spans="12:17" ht="21" thickBot="1">
      <c r="L584">
        <v>583</v>
      </c>
      <c r="M584" s="17" t="s">
        <v>312</v>
      </c>
      <c r="N584" s="18" t="s">
        <v>184</v>
      </c>
      <c r="O584" s="18" t="s">
        <v>362</v>
      </c>
      <c r="P584" s="246" t="s">
        <v>1</v>
      </c>
      <c r="Q584" s="234" t="s">
        <v>304</v>
      </c>
    </row>
    <row r="585" spans="12:17" ht="20.25">
      <c r="L585">
        <v>584</v>
      </c>
      <c r="M585" s="19" t="s">
        <v>312</v>
      </c>
      <c r="N585" s="10" t="s">
        <v>314</v>
      </c>
      <c r="O585" s="10" t="s">
        <v>363</v>
      </c>
      <c r="P585" s="246" t="s">
        <v>1</v>
      </c>
      <c r="Q585" s="14" t="s">
        <v>306</v>
      </c>
    </row>
    <row r="586" spans="12:17" ht="21" thickBot="1">
      <c r="L586">
        <v>585</v>
      </c>
      <c r="M586" s="17" t="s">
        <v>312</v>
      </c>
      <c r="N586" s="18" t="s">
        <v>316</v>
      </c>
      <c r="O586" s="18" t="s">
        <v>364</v>
      </c>
      <c r="P586" s="246" t="s">
        <v>1</v>
      </c>
      <c r="Q586" s="234" t="s">
        <v>308</v>
      </c>
    </row>
    <row r="587" spans="12:17" ht="20.25">
      <c r="L587">
        <v>586</v>
      </c>
      <c r="M587" s="301" t="s">
        <v>318</v>
      </c>
      <c r="N587" s="16" t="s">
        <v>319</v>
      </c>
      <c r="O587" s="16" t="s">
        <v>365</v>
      </c>
      <c r="P587" s="246" t="s">
        <v>1</v>
      </c>
      <c r="Q587" s="11" t="s">
        <v>310</v>
      </c>
    </row>
    <row r="588" spans="12:17" ht="21" thickBot="1">
      <c r="L588">
        <v>587</v>
      </c>
      <c r="M588" s="305" t="s">
        <v>366</v>
      </c>
      <c r="N588" s="307" t="s">
        <v>198</v>
      </c>
      <c r="O588" s="307" t="s">
        <v>367</v>
      </c>
      <c r="P588" s="246" t="s">
        <v>1</v>
      </c>
      <c r="Q588" s="234" t="s">
        <v>311</v>
      </c>
    </row>
    <row r="589" spans="12:17" ht="20.25">
      <c r="L589">
        <v>588</v>
      </c>
      <c r="M589" s="304" t="s">
        <v>368</v>
      </c>
      <c r="N589" s="310" t="s">
        <v>199</v>
      </c>
      <c r="O589" s="310" t="s">
        <v>369</v>
      </c>
      <c r="P589" s="246" t="s">
        <v>1</v>
      </c>
      <c r="Q589" s="11" t="s">
        <v>313</v>
      </c>
    </row>
    <row r="590" spans="12:17" ht="20.25">
      <c r="L590">
        <v>589</v>
      </c>
      <c r="M590" s="26" t="s">
        <v>370</v>
      </c>
      <c r="N590" s="28" t="s">
        <v>371</v>
      </c>
      <c r="O590" s="28" t="s">
        <v>372</v>
      </c>
      <c r="P590" s="246" t="s">
        <v>1</v>
      </c>
      <c r="Q590" s="13" t="s">
        <v>315</v>
      </c>
    </row>
    <row r="591" spans="12:17" ht="21" thickBot="1">
      <c r="L591">
        <v>590</v>
      </c>
      <c r="M591" s="300" t="s">
        <v>373</v>
      </c>
      <c r="N591" s="307" t="s">
        <v>200</v>
      </c>
      <c r="O591" s="307" t="s">
        <v>374</v>
      </c>
      <c r="P591" s="246" t="s">
        <v>1</v>
      </c>
      <c r="Q591" s="234" t="s">
        <v>317</v>
      </c>
    </row>
    <row r="592" spans="12:17" ht="20.25">
      <c r="L592">
        <v>591</v>
      </c>
      <c r="M592" s="302" t="s">
        <v>375</v>
      </c>
      <c r="N592" s="308" t="s">
        <v>188</v>
      </c>
      <c r="O592" s="308" t="s">
        <v>376</v>
      </c>
      <c r="P592" s="246" t="s">
        <v>1</v>
      </c>
      <c r="Q592" s="236" t="s">
        <v>320</v>
      </c>
    </row>
    <row r="593" spans="12:17" ht="20.25">
      <c r="L593">
        <v>592</v>
      </c>
      <c r="M593" s="19" t="s">
        <v>233</v>
      </c>
      <c r="N593" s="10" t="s">
        <v>234</v>
      </c>
      <c r="O593" s="313" t="s">
        <v>326</v>
      </c>
      <c r="P593" s="246" t="s">
        <v>1</v>
      </c>
      <c r="Q593" s="25" t="s">
        <v>1693</v>
      </c>
    </row>
    <row r="594" spans="12:17" ht="20.25">
      <c r="L594">
        <v>593</v>
      </c>
      <c r="M594" s="31" t="s">
        <v>377</v>
      </c>
      <c r="N594" s="32" t="s">
        <v>378</v>
      </c>
      <c r="O594" s="32" t="s">
        <v>379</v>
      </c>
      <c r="P594" s="246" t="s">
        <v>1</v>
      </c>
      <c r="Q594" s="28" t="s">
        <v>1694</v>
      </c>
    </row>
    <row r="595" spans="12:17" ht="20.25">
      <c r="L595">
        <v>594</v>
      </c>
      <c r="M595" s="26" t="s">
        <v>380</v>
      </c>
      <c r="N595" s="28" t="s">
        <v>202</v>
      </c>
      <c r="O595" s="29" t="s">
        <v>381</v>
      </c>
      <c r="P595" s="246" t="s">
        <v>1</v>
      </c>
      <c r="Q595" s="29" t="s">
        <v>1695</v>
      </c>
    </row>
    <row r="596" spans="12:17" ht="20.25">
      <c r="L596">
        <v>595</v>
      </c>
      <c r="M596" s="26" t="s">
        <v>382</v>
      </c>
      <c r="N596" s="28" t="s">
        <v>204</v>
      </c>
      <c r="O596" s="29" t="s">
        <v>383</v>
      </c>
      <c r="P596" s="246" t="s">
        <v>1</v>
      </c>
      <c r="Q596" s="29" t="s">
        <v>1696</v>
      </c>
    </row>
    <row r="597" spans="12:17" ht="20.25">
      <c r="L597">
        <v>596</v>
      </c>
      <c r="M597" s="26" t="s">
        <v>384</v>
      </c>
      <c r="N597" s="28" t="s">
        <v>214</v>
      </c>
      <c r="O597" s="30" t="s">
        <v>385</v>
      </c>
      <c r="P597" s="246" t="s">
        <v>1</v>
      </c>
      <c r="Q597" s="30" t="s">
        <v>1697</v>
      </c>
    </row>
    <row r="598" spans="12:17" ht="20.25">
      <c r="L598">
        <v>597</v>
      </c>
      <c r="M598" s="26" t="s">
        <v>386</v>
      </c>
      <c r="N598" s="27" t="s">
        <v>187</v>
      </c>
      <c r="O598" s="27" t="s">
        <v>387</v>
      </c>
      <c r="P598" s="246" t="s">
        <v>1</v>
      </c>
      <c r="Q598" s="28" t="s">
        <v>1698</v>
      </c>
    </row>
    <row r="599" spans="12:17" ht="20.25">
      <c r="L599">
        <v>598</v>
      </c>
      <c r="M599" s="26" t="s">
        <v>388</v>
      </c>
      <c r="N599" s="28" t="s">
        <v>213</v>
      </c>
      <c r="O599" s="28" t="s">
        <v>389</v>
      </c>
      <c r="P599" s="246" t="s">
        <v>1</v>
      </c>
      <c r="Q599" s="28" t="s">
        <v>1699</v>
      </c>
    </row>
    <row r="600" spans="12:17" ht="20.25">
      <c r="L600">
        <v>599</v>
      </c>
      <c r="M600" s="26" t="s">
        <v>390</v>
      </c>
      <c r="N600" s="28" t="s">
        <v>215</v>
      </c>
      <c r="O600" s="28" t="s">
        <v>391</v>
      </c>
      <c r="P600" s="246" t="s">
        <v>1</v>
      </c>
      <c r="Q600" s="28" t="s">
        <v>1700</v>
      </c>
    </row>
    <row r="601" spans="12:17" ht="20.25">
      <c r="L601">
        <v>600</v>
      </c>
      <c r="M601" s="26" t="s">
        <v>392</v>
      </c>
      <c r="N601" s="28" t="s">
        <v>219</v>
      </c>
      <c r="O601" s="29" t="s">
        <v>393</v>
      </c>
      <c r="P601" s="246" t="s">
        <v>1</v>
      </c>
      <c r="Q601" s="29" t="s">
        <v>1701</v>
      </c>
    </row>
    <row r="602" spans="12:17" ht="20.25">
      <c r="L602">
        <v>601</v>
      </c>
      <c r="M602" s="26" t="s">
        <v>394</v>
      </c>
      <c r="N602" s="28" t="s">
        <v>216</v>
      </c>
      <c r="O602" s="29" t="s">
        <v>395</v>
      </c>
      <c r="P602" s="246" t="s">
        <v>1</v>
      </c>
      <c r="Q602" s="29" t="s">
        <v>1702</v>
      </c>
    </row>
    <row r="603" spans="12:17" ht="20.25">
      <c r="L603">
        <v>602</v>
      </c>
      <c r="M603" s="26" t="s">
        <v>396</v>
      </c>
      <c r="N603" s="28" t="s">
        <v>185</v>
      </c>
      <c r="O603" s="29" t="s">
        <v>397</v>
      </c>
      <c r="P603" s="246" t="s">
        <v>1</v>
      </c>
      <c r="Q603" s="29" t="s">
        <v>1703</v>
      </c>
    </row>
    <row r="604" spans="12:17" ht="20.25">
      <c r="L604">
        <v>603</v>
      </c>
      <c r="M604" s="20" t="s">
        <v>233</v>
      </c>
      <c r="N604" s="12" t="s">
        <v>236</v>
      </c>
      <c r="O604" s="312" t="s">
        <v>327</v>
      </c>
      <c r="P604" s="246" t="s">
        <v>1</v>
      </c>
      <c r="Q604" s="29" t="s">
        <v>1704</v>
      </c>
    </row>
    <row r="605" spans="12:17" ht="20.25">
      <c r="L605">
        <v>604</v>
      </c>
      <c r="M605" s="33" t="s">
        <v>398</v>
      </c>
      <c r="N605" s="28" t="s">
        <v>191</v>
      </c>
      <c r="O605" s="29" t="s">
        <v>399</v>
      </c>
      <c r="P605" s="246" t="s">
        <v>1</v>
      </c>
      <c r="Q605" s="29" t="s">
        <v>1705</v>
      </c>
    </row>
    <row r="606" spans="12:17" ht="20.25">
      <c r="L606">
        <v>605</v>
      </c>
      <c r="M606" s="26" t="s">
        <v>400</v>
      </c>
      <c r="N606" s="28" t="s">
        <v>190</v>
      </c>
      <c r="O606" s="28" t="s">
        <v>401</v>
      </c>
      <c r="P606" s="246" t="s">
        <v>1</v>
      </c>
      <c r="Q606" s="28" t="s">
        <v>1706</v>
      </c>
    </row>
    <row r="607" spans="12:17" ht="20.25">
      <c r="L607">
        <v>606</v>
      </c>
      <c r="M607" s="26" t="s">
        <v>402</v>
      </c>
      <c r="N607" s="28" t="s">
        <v>189</v>
      </c>
      <c r="O607" s="28" t="s">
        <v>403</v>
      </c>
      <c r="P607" s="246" t="s">
        <v>1</v>
      </c>
      <c r="Q607" s="28" t="s">
        <v>1707</v>
      </c>
    </row>
    <row r="608" spans="12:17" ht="20.25">
      <c r="L608">
        <v>607</v>
      </c>
      <c r="M608" s="26" t="s">
        <v>404</v>
      </c>
      <c r="N608" s="28" t="s">
        <v>405</v>
      </c>
      <c r="O608" s="28" t="s">
        <v>406</v>
      </c>
      <c r="P608" s="246" t="s">
        <v>1</v>
      </c>
      <c r="Q608" s="28" t="s">
        <v>1708</v>
      </c>
    </row>
    <row r="609" spans="12:17" ht="20.25">
      <c r="L609">
        <v>608</v>
      </c>
      <c r="M609" s="26" t="s">
        <v>407</v>
      </c>
      <c r="N609" s="28" t="s">
        <v>217</v>
      </c>
      <c r="O609" s="28" t="s">
        <v>408</v>
      </c>
      <c r="P609" s="246" t="s">
        <v>1</v>
      </c>
      <c r="Q609" s="28" t="s">
        <v>1709</v>
      </c>
    </row>
    <row r="610" spans="12:17" ht="20.25">
      <c r="L610">
        <v>609</v>
      </c>
      <c r="M610" s="26" t="s">
        <v>409</v>
      </c>
      <c r="N610" s="28" t="s">
        <v>223</v>
      </c>
      <c r="O610" s="28" t="s">
        <v>410</v>
      </c>
      <c r="P610" s="246" t="s">
        <v>1</v>
      </c>
      <c r="Q610" s="28" t="s">
        <v>1710</v>
      </c>
    </row>
    <row r="611" spans="12:17" ht="20.25">
      <c r="L611">
        <v>610</v>
      </c>
      <c r="M611" s="26" t="s">
        <v>411</v>
      </c>
      <c r="N611" s="28" t="s">
        <v>412</v>
      </c>
      <c r="O611" s="28" t="s">
        <v>413</v>
      </c>
      <c r="P611" s="246" t="s">
        <v>1</v>
      </c>
      <c r="Q611" s="28" t="s">
        <v>1711</v>
      </c>
    </row>
    <row r="612" spans="12:17" ht="20.25">
      <c r="L612">
        <v>611</v>
      </c>
      <c r="M612" s="26" t="s">
        <v>414</v>
      </c>
      <c r="N612" s="28" t="s">
        <v>218</v>
      </c>
      <c r="O612" s="28" t="s">
        <v>415</v>
      </c>
      <c r="P612" s="246" t="s">
        <v>1</v>
      </c>
      <c r="Q612" s="28" t="s">
        <v>1712</v>
      </c>
    </row>
    <row r="613" spans="12:17" ht="20.25">
      <c r="L613">
        <v>612</v>
      </c>
      <c r="M613" s="26" t="s">
        <v>416</v>
      </c>
      <c r="N613" s="28" t="s">
        <v>222</v>
      </c>
      <c r="O613" s="28" t="s">
        <v>417</v>
      </c>
      <c r="P613" s="246" t="s">
        <v>1</v>
      </c>
      <c r="Q613" s="28" t="s">
        <v>1713</v>
      </c>
    </row>
    <row r="614" spans="12:17" ht="20.25">
      <c r="L614">
        <v>613</v>
      </c>
      <c r="M614" s="26" t="s">
        <v>418</v>
      </c>
      <c r="N614" s="28" t="s">
        <v>419</v>
      </c>
      <c r="O614" s="28" t="s">
        <v>420</v>
      </c>
      <c r="P614" s="246" t="s">
        <v>1</v>
      </c>
      <c r="Q614" s="28" t="s">
        <v>1714</v>
      </c>
    </row>
    <row r="615" spans="12:17" ht="20.25">
      <c r="L615">
        <v>614</v>
      </c>
      <c r="M615" s="20" t="s">
        <v>82</v>
      </c>
      <c r="N615" s="12" t="s">
        <v>238</v>
      </c>
      <c r="O615" s="12" t="s">
        <v>328</v>
      </c>
      <c r="P615" s="246" t="s">
        <v>1</v>
      </c>
      <c r="Q615" s="28" t="s">
        <v>1715</v>
      </c>
    </row>
    <row r="616" spans="12:17" ht="20.25">
      <c r="L616">
        <v>615</v>
      </c>
      <c r="M616" s="26" t="s">
        <v>421</v>
      </c>
      <c r="N616" s="28" t="s">
        <v>422</v>
      </c>
      <c r="O616" s="28" t="s">
        <v>423</v>
      </c>
      <c r="P616" s="246" t="s">
        <v>1</v>
      </c>
      <c r="Q616" s="28" t="s">
        <v>1716</v>
      </c>
    </row>
    <row r="617" spans="12:17" ht="20.25">
      <c r="L617">
        <v>616</v>
      </c>
      <c r="M617" s="26" t="s">
        <v>424</v>
      </c>
      <c r="N617" s="28" t="s">
        <v>195</v>
      </c>
      <c r="O617" s="28" t="s">
        <v>425</v>
      </c>
      <c r="P617" s="246" t="s">
        <v>1</v>
      </c>
      <c r="Q617" s="28" t="s">
        <v>1717</v>
      </c>
    </row>
    <row r="618" spans="12:17" ht="20.25">
      <c r="L618">
        <v>617</v>
      </c>
      <c r="M618" s="23" t="s">
        <v>426</v>
      </c>
      <c r="N618" s="24" t="s">
        <v>427</v>
      </c>
      <c r="O618" s="24" t="s">
        <v>428</v>
      </c>
      <c r="P618" s="246" t="s">
        <v>1</v>
      </c>
      <c r="Q618" s="24" t="s">
        <v>1718</v>
      </c>
    </row>
    <row r="619" spans="12:17" ht="20.25">
      <c r="L619">
        <v>618</v>
      </c>
      <c r="M619" s="303" t="s">
        <v>429</v>
      </c>
      <c r="N619" s="309" t="s">
        <v>221</v>
      </c>
      <c r="O619" s="309" t="s">
        <v>430</v>
      </c>
      <c r="P619" s="246" t="s">
        <v>1</v>
      </c>
      <c r="Q619" s="28" t="s">
        <v>1719</v>
      </c>
    </row>
    <row r="620" spans="12:17" ht="21" thickBot="1">
      <c r="L620">
        <v>619</v>
      </c>
      <c r="M620" s="299" t="s">
        <v>431</v>
      </c>
      <c r="N620" s="306" t="s">
        <v>194</v>
      </c>
      <c r="O620" s="311" t="s">
        <v>432</v>
      </c>
      <c r="P620" s="246" t="s">
        <v>1</v>
      </c>
      <c r="Q620" s="34" t="s">
        <v>1720</v>
      </c>
    </row>
    <row r="621" spans="12:17" ht="20.25">
      <c r="L621">
        <v>620</v>
      </c>
      <c r="M621" s="35" t="s">
        <v>433</v>
      </c>
      <c r="N621" s="36" t="s">
        <v>434</v>
      </c>
      <c r="O621" s="36" t="s">
        <v>435</v>
      </c>
      <c r="P621" s="246" t="s">
        <v>1</v>
      </c>
      <c r="Q621" s="36" t="s">
        <v>1721</v>
      </c>
    </row>
    <row r="622" spans="12:17" ht="20.25">
      <c r="L622">
        <v>621</v>
      </c>
      <c r="M622" s="37" t="s">
        <v>436</v>
      </c>
      <c r="N622" s="38" t="s">
        <v>224</v>
      </c>
      <c r="O622" s="38" t="s">
        <v>437</v>
      </c>
      <c r="P622" s="246" t="s">
        <v>1</v>
      </c>
      <c r="Q622" s="38" t="s">
        <v>1722</v>
      </c>
    </row>
    <row r="623" spans="12:17" ht="20.25">
      <c r="L623">
        <v>622</v>
      </c>
      <c r="M623" s="39" t="s">
        <v>438</v>
      </c>
      <c r="N623" s="40" t="s">
        <v>179</v>
      </c>
      <c r="O623" s="40" t="s">
        <v>439</v>
      </c>
      <c r="P623" s="246" t="s">
        <v>1</v>
      </c>
      <c r="Q623" s="38" t="s">
        <v>1723</v>
      </c>
    </row>
    <row r="624" spans="12:17" ht="20.25">
      <c r="L624">
        <v>623</v>
      </c>
      <c r="M624" s="39" t="s">
        <v>440</v>
      </c>
      <c r="N624" s="40" t="s">
        <v>210</v>
      </c>
      <c r="O624" s="40" t="s">
        <v>441</v>
      </c>
      <c r="P624" s="246" t="s">
        <v>1</v>
      </c>
      <c r="Q624" s="38" t="s">
        <v>1724</v>
      </c>
    </row>
    <row r="625" spans="12:17" ht="20.25">
      <c r="L625">
        <v>624</v>
      </c>
      <c r="M625" s="37" t="s">
        <v>442</v>
      </c>
      <c r="N625" s="38" t="s">
        <v>443</v>
      </c>
      <c r="O625" s="38" t="s">
        <v>444</v>
      </c>
      <c r="P625" s="246" t="s">
        <v>1</v>
      </c>
      <c r="Q625" s="38" t="s">
        <v>1725</v>
      </c>
    </row>
    <row r="626" spans="12:17" ht="20.25">
      <c r="L626">
        <v>625</v>
      </c>
      <c r="M626" s="20" t="s">
        <v>82</v>
      </c>
      <c r="N626" s="12" t="s">
        <v>240</v>
      </c>
      <c r="O626" s="12" t="s">
        <v>329</v>
      </c>
      <c r="P626" s="246" t="s">
        <v>1</v>
      </c>
      <c r="Q626" s="38" t="s">
        <v>1726</v>
      </c>
    </row>
    <row r="627" spans="12:17" ht="20.25">
      <c r="L627">
        <v>626</v>
      </c>
      <c r="M627" s="39" t="s">
        <v>445</v>
      </c>
      <c r="N627" s="40" t="s">
        <v>192</v>
      </c>
      <c r="O627" s="40" t="s">
        <v>446</v>
      </c>
      <c r="P627" s="246" t="s">
        <v>1</v>
      </c>
      <c r="Q627" s="38" t="s">
        <v>1727</v>
      </c>
    </row>
    <row r="628" spans="12:17" ht="20.25">
      <c r="L628">
        <v>627</v>
      </c>
      <c r="M628" s="37" t="s">
        <v>447</v>
      </c>
      <c r="N628" s="38" t="s">
        <v>186</v>
      </c>
      <c r="O628" s="38" t="s">
        <v>448</v>
      </c>
      <c r="P628" s="246" t="s">
        <v>1</v>
      </c>
      <c r="Q628" s="38" t="s">
        <v>1728</v>
      </c>
    </row>
    <row r="629" spans="12:17" ht="20.25">
      <c r="L629">
        <v>628</v>
      </c>
      <c r="M629" s="35" t="s">
        <v>449</v>
      </c>
      <c r="N629" s="36" t="s">
        <v>207</v>
      </c>
      <c r="O629" s="41" t="s">
        <v>450</v>
      </c>
      <c r="P629" s="246" t="s">
        <v>1</v>
      </c>
      <c r="Q629" s="41" t="s">
        <v>1729</v>
      </c>
    </row>
    <row r="630" spans="12:17" ht="20.25">
      <c r="L630">
        <v>629</v>
      </c>
      <c r="M630" s="37" t="s">
        <v>451</v>
      </c>
      <c r="N630" s="38" t="s">
        <v>452</v>
      </c>
      <c r="O630" s="42" t="s">
        <v>453</v>
      </c>
      <c r="P630" s="246" t="s">
        <v>1</v>
      </c>
      <c r="Q630" s="42" t="s">
        <v>1730</v>
      </c>
    </row>
    <row r="631" spans="12:17" ht="20.25">
      <c r="L631">
        <v>630</v>
      </c>
      <c r="M631" s="43" t="s">
        <v>454</v>
      </c>
      <c r="N631" s="44" t="s">
        <v>208</v>
      </c>
      <c r="O631" s="45" t="s">
        <v>455</v>
      </c>
      <c r="P631" s="246" t="s">
        <v>1</v>
      </c>
      <c r="Q631" s="45" t="s">
        <v>1731</v>
      </c>
    </row>
    <row r="632" spans="12:17" ht="20.25">
      <c r="L632">
        <v>631</v>
      </c>
      <c r="M632" s="37" t="s">
        <v>456</v>
      </c>
      <c r="N632" s="38" t="s">
        <v>457</v>
      </c>
      <c r="O632" s="38" t="s">
        <v>458</v>
      </c>
      <c r="P632" s="246" t="s">
        <v>1</v>
      </c>
      <c r="Q632" s="38" t="s">
        <v>1732</v>
      </c>
    </row>
    <row r="633" spans="12:17" ht="20.25">
      <c r="L633">
        <v>632</v>
      </c>
      <c r="M633" s="37" t="s">
        <v>459</v>
      </c>
      <c r="N633" s="38" t="s">
        <v>209</v>
      </c>
      <c r="O633" s="38" t="s">
        <v>460</v>
      </c>
      <c r="P633" s="246" t="s">
        <v>1</v>
      </c>
      <c r="Q633" s="38" t="s">
        <v>1733</v>
      </c>
    </row>
    <row r="634" spans="12:17" ht="20.25">
      <c r="L634">
        <v>633</v>
      </c>
      <c r="M634" s="37" t="s">
        <v>461</v>
      </c>
      <c r="N634" s="38" t="s">
        <v>211</v>
      </c>
      <c r="O634" s="38" t="s">
        <v>462</v>
      </c>
      <c r="P634" s="246" t="s">
        <v>1</v>
      </c>
      <c r="Q634" s="38" t="s">
        <v>1734</v>
      </c>
    </row>
    <row r="635" spans="12:17" ht="20.25">
      <c r="L635">
        <v>634</v>
      </c>
      <c r="M635" s="37" t="s">
        <v>463</v>
      </c>
      <c r="N635" s="38" t="s">
        <v>181</v>
      </c>
      <c r="O635" s="38" t="s">
        <v>464</v>
      </c>
      <c r="P635" s="246" t="s">
        <v>1</v>
      </c>
      <c r="Q635" s="38" t="s">
        <v>1735</v>
      </c>
    </row>
    <row r="636" spans="12:17" ht="20.25">
      <c r="L636">
        <v>635</v>
      </c>
      <c r="M636" s="46" t="s">
        <v>465</v>
      </c>
      <c r="N636" s="47" t="s">
        <v>201</v>
      </c>
      <c r="O636" s="47" t="s">
        <v>466</v>
      </c>
      <c r="P636" s="246" t="s">
        <v>1</v>
      </c>
      <c r="Q636" s="38" t="s">
        <v>1736</v>
      </c>
    </row>
    <row r="637" spans="12:17" ht="20.25">
      <c r="L637">
        <v>636</v>
      </c>
      <c r="M637" s="20" t="s">
        <v>242</v>
      </c>
      <c r="N637" s="12" t="s">
        <v>243</v>
      </c>
      <c r="O637" s="12" t="s">
        <v>330</v>
      </c>
      <c r="P637" s="246" t="s">
        <v>1</v>
      </c>
      <c r="Q637" s="47" t="s">
        <v>1737</v>
      </c>
    </row>
    <row r="638" spans="12:17" ht="20.25">
      <c r="L638">
        <v>637</v>
      </c>
      <c r="M638" s="46" t="s">
        <v>467</v>
      </c>
      <c r="N638" s="47" t="s">
        <v>468</v>
      </c>
      <c r="O638" s="47" t="s">
        <v>469</v>
      </c>
      <c r="P638" s="246" t="s">
        <v>1</v>
      </c>
      <c r="Q638" s="47" t="s">
        <v>1738</v>
      </c>
    </row>
    <row r="639" spans="12:17" ht="20.25">
      <c r="L639">
        <v>638</v>
      </c>
      <c r="M639" s="46" t="s">
        <v>470</v>
      </c>
      <c r="N639" s="47" t="s">
        <v>193</v>
      </c>
      <c r="O639" s="47" t="s">
        <v>471</v>
      </c>
      <c r="P639" s="246" t="s">
        <v>1</v>
      </c>
      <c r="Q639" s="47" t="s">
        <v>1739</v>
      </c>
    </row>
    <row r="640" spans="12:17" ht="20.25">
      <c r="L640">
        <v>639</v>
      </c>
      <c r="M640" s="46" t="s">
        <v>472</v>
      </c>
      <c r="N640" s="47" t="s">
        <v>212</v>
      </c>
      <c r="O640" s="47" t="s">
        <v>473</v>
      </c>
      <c r="P640" s="246" t="s">
        <v>1</v>
      </c>
      <c r="Q640" s="47" t="s">
        <v>1740</v>
      </c>
    </row>
    <row r="641" spans="12:17" ht="20.25">
      <c r="L641">
        <v>640</v>
      </c>
      <c r="M641" s="46" t="s">
        <v>474</v>
      </c>
      <c r="N641" s="47" t="s">
        <v>205</v>
      </c>
      <c r="O641" s="47" t="s">
        <v>475</v>
      </c>
      <c r="P641" s="246" t="s">
        <v>1</v>
      </c>
      <c r="Q641" s="47" t="s">
        <v>1741</v>
      </c>
    </row>
    <row r="642" spans="12:17" ht="20.25">
      <c r="L642">
        <v>641</v>
      </c>
      <c r="M642" s="46" t="s">
        <v>476</v>
      </c>
      <c r="N642" s="47" t="s">
        <v>477</v>
      </c>
      <c r="O642" s="47" t="s">
        <v>478</v>
      </c>
      <c r="P642" s="246" t="s">
        <v>1</v>
      </c>
      <c r="Q642" s="47" t="s">
        <v>1742</v>
      </c>
    </row>
    <row r="643" spans="12:17" ht="20.25">
      <c r="L643">
        <v>642</v>
      </c>
      <c r="M643" s="46" t="s">
        <v>479</v>
      </c>
      <c r="N643" s="47" t="s">
        <v>220</v>
      </c>
      <c r="O643" s="47" t="s">
        <v>480</v>
      </c>
      <c r="P643" s="246" t="s">
        <v>1</v>
      </c>
      <c r="Q643" s="47" t="s">
        <v>1743</v>
      </c>
    </row>
    <row r="644" spans="12:17" ht="20.25">
      <c r="L644">
        <v>643</v>
      </c>
      <c r="M644" s="46" t="s">
        <v>481</v>
      </c>
      <c r="N644" s="47" t="s">
        <v>482</v>
      </c>
      <c r="O644" s="47" t="s">
        <v>483</v>
      </c>
      <c r="P644" s="246" t="s">
        <v>1</v>
      </c>
      <c r="Q644" s="47" t="s">
        <v>1744</v>
      </c>
    </row>
    <row r="645" spans="12:17" ht="20.25">
      <c r="L645">
        <v>644</v>
      </c>
      <c r="M645" s="46" t="s">
        <v>484</v>
      </c>
      <c r="N645" s="47" t="s">
        <v>180</v>
      </c>
      <c r="O645" s="47" t="s">
        <v>485</v>
      </c>
      <c r="P645" s="246" t="s">
        <v>1</v>
      </c>
      <c r="Q645" s="47" t="s">
        <v>1745</v>
      </c>
    </row>
  </sheetData>
  <autoFilter ref="A1:P645" xr:uid="{9265ECBC-DEC1-4561-9B9B-DED129A7BDCD}">
    <sortState xmlns:xlrd2="http://schemas.microsoft.com/office/spreadsheetml/2017/richdata2" ref="A2:P645">
      <sortCondition ref="A1:A645"/>
    </sortState>
  </autoFilter>
  <phoneticPr fontId="3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E6D6E-0929-4901-8BFA-BF4CEE77664D}">
  <dimension ref="A1:J547"/>
  <sheetViews>
    <sheetView rightToLeft="1" tabSelected="1" workbookViewId="0">
      <selection activeCell="F53" sqref="F53"/>
    </sheetView>
  </sheetViews>
  <sheetFormatPr defaultRowHeight="14.25"/>
  <cols>
    <col min="1" max="1" width="4.5" bestFit="1" customWidth="1"/>
    <col min="2" max="2" width="66.5" bestFit="1" customWidth="1"/>
    <col min="3" max="3" width="21.5" bestFit="1" customWidth="1"/>
    <col min="4" max="4" width="15.125" bestFit="1" customWidth="1"/>
    <col min="5" max="5" width="16.375" bestFit="1" customWidth="1"/>
    <col min="6" max="7" width="22.5" bestFit="1" customWidth="1"/>
    <col min="8" max="8" width="19.25" customWidth="1"/>
  </cols>
  <sheetData>
    <row r="1" spans="1:8">
      <c r="A1" s="59" t="s">
        <v>1</v>
      </c>
      <c r="B1" s="314" t="s">
        <v>0</v>
      </c>
      <c r="C1" s="315" t="s">
        <v>2237</v>
      </c>
      <c r="D1" s="314" t="s">
        <v>2238</v>
      </c>
      <c r="E1" s="314" t="s">
        <v>2239</v>
      </c>
      <c r="F1" s="314" t="s">
        <v>225</v>
      </c>
      <c r="G1" s="314" t="s">
        <v>2864</v>
      </c>
      <c r="H1" s="344" t="s">
        <v>2865</v>
      </c>
    </row>
    <row r="2" spans="1:8">
      <c r="A2" s="59">
        <v>1</v>
      </c>
      <c r="B2" s="317" t="s">
        <v>488</v>
      </c>
      <c r="C2" s="317" t="s">
        <v>489</v>
      </c>
      <c r="D2" s="316" t="s">
        <v>490</v>
      </c>
      <c r="E2" s="318" t="s">
        <v>1</v>
      </c>
      <c r="F2" s="317" t="s">
        <v>2366</v>
      </c>
      <c r="G2" s="317">
        <v>24.737905999999999</v>
      </c>
      <c r="H2">
        <v>46.593283999999997</v>
      </c>
    </row>
    <row r="3" spans="1:8">
      <c r="A3" s="59">
        <v>2</v>
      </c>
      <c r="B3" s="317" t="s">
        <v>491</v>
      </c>
      <c r="C3" s="317" t="s">
        <v>492</v>
      </c>
      <c r="D3" s="316" t="s">
        <v>493</v>
      </c>
      <c r="E3" s="318" t="s">
        <v>1</v>
      </c>
      <c r="F3" s="317" t="s">
        <v>2367</v>
      </c>
      <c r="G3" s="317">
        <v>24.744458000000002</v>
      </c>
      <c r="H3">
        <v>46.608213999999997</v>
      </c>
    </row>
    <row r="4" spans="1:8">
      <c r="A4" s="59">
        <v>3</v>
      </c>
      <c r="B4" s="317" t="s">
        <v>494</v>
      </c>
      <c r="C4" s="317" t="s">
        <v>495</v>
      </c>
      <c r="D4" s="316" t="s">
        <v>496</v>
      </c>
      <c r="E4" s="318" t="s">
        <v>1</v>
      </c>
      <c r="F4" s="317" t="s">
        <v>2368</v>
      </c>
      <c r="G4" s="317">
        <v>24.746285</v>
      </c>
      <c r="H4">
        <v>46.61251</v>
      </c>
    </row>
    <row r="5" spans="1:8">
      <c r="A5" s="59">
        <v>4</v>
      </c>
      <c r="B5" s="317" t="s">
        <v>497</v>
      </c>
      <c r="C5" s="317" t="s">
        <v>498</v>
      </c>
      <c r="D5" s="316" t="s">
        <v>113</v>
      </c>
      <c r="E5" s="318" t="s">
        <v>1</v>
      </c>
      <c r="F5" s="317" t="s">
        <v>2369</v>
      </c>
      <c r="G5" s="317">
        <v>24.742768000000002</v>
      </c>
      <c r="H5">
        <v>46.603282999999998</v>
      </c>
    </row>
    <row r="6" spans="1:8">
      <c r="A6" s="59">
        <v>5</v>
      </c>
      <c r="B6" s="317" t="s">
        <v>499</v>
      </c>
      <c r="C6" s="317" t="s">
        <v>500</v>
      </c>
      <c r="D6" s="316" t="s">
        <v>501</v>
      </c>
      <c r="E6" s="318" t="s">
        <v>1</v>
      </c>
      <c r="F6" s="317" t="s">
        <v>2370</v>
      </c>
      <c r="G6" s="317">
        <v>24.739606999999999</v>
      </c>
      <c r="H6">
        <v>46.595917999999998</v>
      </c>
    </row>
    <row r="7" spans="1:8">
      <c r="A7" s="59">
        <v>6</v>
      </c>
      <c r="B7" s="317" t="s">
        <v>502</v>
      </c>
      <c r="C7" s="317" t="s">
        <v>503</v>
      </c>
      <c r="D7" s="316" t="s">
        <v>504</v>
      </c>
      <c r="E7" s="318" t="s">
        <v>1</v>
      </c>
      <c r="F7" s="317" t="s">
        <v>2371</v>
      </c>
      <c r="G7" s="317">
        <v>24.752175000000001</v>
      </c>
      <c r="H7">
        <v>46.625843000000003</v>
      </c>
    </row>
    <row r="8" spans="1:8">
      <c r="A8" s="59">
        <v>7</v>
      </c>
      <c r="B8" s="317" t="s">
        <v>505</v>
      </c>
      <c r="C8" s="317" t="s">
        <v>506</v>
      </c>
      <c r="D8" s="316" t="s">
        <v>507</v>
      </c>
      <c r="E8" s="318" t="s">
        <v>1</v>
      </c>
      <c r="F8" s="317" t="s">
        <v>2372</v>
      </c>
      <c r="G8" s="317">
        <v>24.750278999999999</v>
      </c>
      <c r="H8">
        <v>46.621361</v>
      </c>
    </row>
    <row r="9" spans="1:8">
      <c r="A9" s="59">
        <v>8</v>
      </c>
      <c r="B9" s="317" t="s">
        <v>508</v>
      </c>
      <c r="C9" s="317" t="s">
        <v>509</v>
      </c>
      <c r="D9" s="316" t="s">
        <v>510</v>
      </c>
      <c r="E9" s="318" t="s">
        <v>1</v>
      </c>
      <c r="F9" s="317" t="s">
        <v>2373</v>
      </c>
      <c r="G9" s="317">
        <v>24.757082</v>
      </c>
      <c r="H9">
        <v>46.637217</v>
      </c>
    </row>
    <row r="10" spans="1:8">
      <c r="A10" s="59">
        <v>9</v>
      </c>
      <c r="B10" s="317" t="s">
        <v>511</v>
      </c>
      <c r="C10" s="317" t="s">
        <v>512</v>
      </c>
      <c r="D10" s="316" t="s">
        <v>513</v>
      </c>
      <c r="E10" s="318" t="s">
        <v>1</v>
      </c>
      <c r="F10" s="317" t="s">
        <v>2374</v>
      </c>
      <c r="G10" s="317">
        <v>24.758054999999999</v>
      </c>
      <c r="H10">
        <v>46.640825</v>
      </c>
    </row>
    <row r="11" spans="1:8">
      <c r="A11" s="59">
        <v>10</v>
      </c>
      <c r="B11" s="317" t="s">
        <v>514</v>
      </c>
      <c r="C11" s="317" t="s">
        <v>515</v>
      </c>
      <c r="D11" s="316" t="s">
        <v>516</v>
      </c>
      <c r="E11" s="318" t="s">
        <v>1</v>
      </c>
      <c r="F11" s="317" t="s">
        <v>2375</v>
      </c>
      <c r="G11" s="317">
        <v>24.764906</v>
      </c>
      <c r="H11">
        <v>46.656118999999997</v>
      </c>
    </row>
    <row r="12" spans="1:8">
      <c r="A12" s="59">
        <v>11</v>
      </c>
      <c r="B12" s="317" t="s">
        <v>517</v>
      </c>
      <c r="C12" s="317" t="s">
        <v>518</v>
      </c>
      <c r="D12" s="316" t="s">
        <v>519</v>
      </c>
      <c r="E12" s="318" t="s">
        <v>1</v>
      </c>
      <c r="F12" s="317" t="s">
        <v>2376</v>
      </c>
      <c r="G12" s="317">
        <v>24.766152000000002</v>
      </c>
      <c r="H12">
        <v>46.659770999999999</v>
      </c>
    </row>
    <row r="13" spans="1:8">
      <c r="A13" s="59">
        <v>12</v>
      </c>
      <c r="B13" s="317" t="s">
        <v>520</v>
      </c>
      <c r="C13" s="317" t="s">
        <v>521</v>
      </c>
      <c r="D13" s="316" t="s">
        <v>522</v>
      </c>
      <c r="E13" s="318" t="s">
        <v>1</v>
      </c>
      <c r="F13" s="317" t="s">
        <v>2377</v>
      </c>
      <c r="G13" s="317">
        <v>24.768022999999999</v>
      </c>
      <c r="H13">
        <v>46.664164</v>
      </c>
    </row>
    <row r="14" spans="1:8">
      <c r="A14" s="59">
        <v>13</v>
      </c>
      <c r="B14" s="317" t="s">
        <v>523</v>
      </c>
      <c r="C14" s="317" t="s">
        <v>524</v>
      </c>
      <c r="D14" s="316" t="s">
        <v>525</v>
      </c>
      <c r="E14" s="318" t="s">
        <v>1</v>
      </c>
      <c r="F14" s="317" t="s">
        <v>2378</v>
      </c>
      <c r="G14" s="317">
        <v>24.773737000000001</v>
      </c>
      <c r="H14">
        <v>46.677675000000001</v>
      </c>
    </row>
    <row r="15" spans="1:8">
      <c r="A15" s="59">
        <v>14</v>
      </c>
      <c r="B15" s="317" t="s">
        <v>526</v>
      </c>
      <c r="C15" s="317" t="s">
        <v>527</v>
      </c>
      <c r="D15" s="316" t="s">
        <v>114</v>
      </c>
      <c r="E15" s="318" t="s">
        <v>1</v>
      </c>
      <c r="F15" s="319" t="s">
        <v>2379</v>
      </c>
      <c r="G15" s="343">
        <v>24.775587000000002</v>
      </c>
      <c r="H15">
        <v>46.682076000000002</v>
      </c>
    </row>
    <row r="16" spans="1:8">
      <c r="A16" s="59">
        <v>15</v>
      </c>
      <c r="B16" s="317" t="s">
        <v>528</v>
      </c>
      <c r="C16" s="317" t="s">
        <v>529</v>
      </c>
      <c r="D16" s="316" t="s">
        <v>177</v>
      </c>
      <c r="E16" s="318" t="s">
        <v>1</v>
      </c>
      <c r="F16" s="317" t="s">
        <v>2380</v>
      </c>
      <c r="G16" s="317">
        <v>24.773812</v>
      </c>
      <c r="H16">
        <v>46.677174000000001</v>
      </c>
    </row>
    <row r="17" spans="1:8">
      <c r="A17" s="59">
        <v>16</v>
      </c>
      <c r="B17" s="317" t="s">
        <v>530</v>
      </c>
      <c r="C17" s="317" t="s">
        <v>531</v>
      </c>
      <c r="D17" s="316" t="s">
        <v>115</v>
      </c>
      <c r="E17" s="318" t="s">
        <v>1</v>
      </c>
      <c r="F17" s="317" t="s">
        <v>2381</v>
      </c>
      <c r="G17" s="317">
        <v>24.771913000000001</v>
      </c>
      <c r="H17">
        <v>46.672691999999998</v>
      </c>
    </row>
    <row r="18" spans="1:8">
      <c r="A18" s="59">
        <v>17</v>
      </c>
      <c r="B18" s="317" t="s">
        <v>532</v>
      </c>
      <c r="C18" s="317" t="s">
        <v>533</v>
      </c>
      <c r="D18" s="316" t="s">
        <v>534</v>
      </c>
      <c r="E18" s="318" t="s">
        <v>1</v>
      </c>
      <c r="F18" s="317" t="s">
        <v>2382</v>
      </c>
      <c r="G18" s="317">
        <v>24.781299000000001</v>
      </c>
      <c r="H18">
        <v>46.695605</v>
      </c>
    </row>
    <row r="19" spans="1:8">
      <c r="A19" s="59">
        <v>18</v>
      </c>
      <c r="B19" s="317" t="s">
        <v>535</v>
      </c>
      <c r="C19" s="317" t="s">
        <v>536</v>
      </c>
      <c r="D19" s="316" t="s">
        <v>537</v>
      </c>
      <c r="E19" s="318" t="s">
        <v>1</v>
      </c>
      <c r="F19" s="317" t="s">
        <v>2383</v>
      </c>
      <c r="G19" s="317">
        <v>24.786565</v>
      </c>
      <c r="H19">
        <v>46.681804</v>
      </c>
    </row>
    <row r="20" spans="1:8">
      <c r="A20" s="59">
        <v>19</v>
      </c>
      <c r="B20" s="317" t="s">
        <v>538</v>
      </c>
      <c r="C20" s="317" t="s">
        <v>539</v>
      </c>
      <c r="D20" s="316" t="s">
        <v>540</v>
      </c>
      <c r="E20" s="318" t="s">
        <v>1</v>
      </c>
      <c r="F20" s="317" t="s">
        <v>2384</v>
      </c>
      <c r="G20" s="317">
        <v>24.781365999999998</v>
      </c>
      <c r="H20">
        <v>46.695141</v>
      </c>
    </row>
    <row r="21" spans="1:8">
      <c r="A21" s="59">
        <v>20</v>
      </c>
      <c r="B21" s="317" t="s">
        <v>541</v>
      </c>
      <c r="C21" s="317" t="s">
        <v>542</v>
      </c>
      <c r="D21" s="316" t="s">
        <v>543</v>
      </c>
      <c r="E21" s="318" t="s">
        <v>1</v>
      </c>
      <c r="F21" s="317" t="s">
        <v>2385</v>
      </c>
      <c r="G21" s="317">
        <v>24.779401</v>
      </c>
      <c r="H21">
        <v>46.690655</v>
      </c>
    </row>
    <row r="22" spans="1:8">
      <c r="A22" s="59">
        <v>21</v>
      </c>
      <c r="B22" s="317" t="s">
        <v>544</v>
      </c>
      <c r="C22" s="317" t="s">
        <v>545</v>
      </c>
      <c r="D22" s="316" t="s">
        <v>546</v>
      </c>
      <c r="E22" s="318" t="s">
        <v>1</v>
      </c>
      <c r="F22" s="317" t="s">
        <v>2386</v>
      </c>
      <c r="G22" s="317">
        <v>24.789688000000002</v>
      </c>
      <c r="H22">
        <v>46.715871999999997</v>
      </c>
    </row>
    <row r="23" spans="1:8">
      <c r="A23" s="59">
        <v>22</v>
      </c>
      <c r="B23" s="317" t="s">
        <v>547</v>
      </c>
      <c r="C23" s="317" t="s">
        <v>548</v>
      </c>
      <c r="D23" s="316" t="s">
        <v>549</v>
      </c>
      <c r="E23" s="318" t="s">
        <v>1</v>
      </c>
      <c r="F23" s="317" t="s">
        <v>2387</v>
      </c>
      <c r="G23" s="317">
        <v>24.787777999999999</v>
      </c>
      <c r="H23">
        <v>46.711365999999998</v>
      </c>
    </row>
    <row r="24" spans="1:8">
      <c r="A24" s="59">
        <v>23</v>
      </c>
      <c r="B24" s="317" t="s">
        <v>550</v>
      </c>
      <c r="C24" s="317" t="s">
        <v>551</v>
      </c>
      <c r="D24" s="316" t="s">
        <v>552</v>
      </c>
      <c r="E24" s="318" t="s">
        <v>1</v>
      </c>
      <c r="F24" s="317" t="s">
        <v>2388</v>
      </c>
      <c r="G24" s="317">
        <v>24.840026000000002</v>
      </c>
      <c r="H24">
        <v>46.607128000000003</v>
      </c>
    </row>
    <row r="25" spans="1:8">
      <c r="A25" s="59">
        <v>24</v>
      </c>
      <c r="B25" s="317" t="s">
        <v>553</v>
      </c>
      <c r="C25" s="317" t="s">
        <v>554</v>
      </c>
      <c r="D25" s="316" t="s">
        <v>555</v>
      </c>
      <c r="E25" s="318" t="s">
        <v>1</v>
      </c>
      <c r="F25" s="317" t="s">
        <v>2389</v>
      </c>
      <c r="G25" s="317">
        <v>24.828665999999998</v>
      </c>
      <c r="H25">
        <v>46.619401000000003</v>
      </c>
    </row>
    <row r="26" spans="1:8">
      <c r="A26" s="59">
        <v>25</v>
      </c>
      <c r="B26" s="317" t="s">
        <v>556</v>
      </c>
      <c r="C26" s="317" t="s">
        <v>557</v>
      </c>
      <c r="D26" s="316" t="s">
        <v>558</v>
      </c>
      <c r="E26" s="318" t="s">
        <v>1</v>
      </c>
      <c r="F26" s="317" t="s">
        <v>2390</v>
      </c>
      <c r="G26" s="317">
        <v>24.826366</v>
      </c>
      <c r="H26">
        <v>46.614429999999999</v>
      </c>
    </row>
    <row r="27" spans="1:8">
      <c r="A27" s="59">
        <v>26</v>
      </c>
      <c r="B27" s="317" t="s">
        <v>559</v>
      </c>
      <c r="C27" s="317" t="s">
        <v>560</v>
      </c>
      <c r="D27" s="316" t="s">
        <v>119</v>
      </c>
      <c r="E27" s="318" t="s">
        <v>1</v>
      </c>
      <c r="F27" s="317" t="s">
        <v>2391</v>
      </c>
      <c r="G27" s="317">
        <v>24.823741999999999</v>
      </c>
      <c r="H27">
        <v>46.607646000000003</v>
      </c>
    </row>
    <row r="28" spans="1:8">
      <c r="A28" s="59">
        <v>27</v>
      </c>
      <c r="B28" s="317" t="s">
        <v>561</v>
      </c>
      <c r="C28" s="317" t="s">
        <v>562</v>
      </c>
      <c r="D28" s="316" t="s">
        <v>563</v>
      </c>
      <c r="E28" s="318" t="s">
        <v>1</v>
      </c>
      <c r="F28" s="317" t="s">
        <v>2392</v>
      </c>
      <c r="G28" s="317">
        <v>24.837029000000001</v>
      </c>
      <c r="H28">
        <v>46.639370999999997</v>
      </c>
    </row>
    <row r="29" spans="1:8">
      <c r="A29" s="59">
        <v>28</v>
      </c>
      <c r="B29" s="317" t="s">
        <v>564</v>
      </c>
      <c r="C29" s="317" t="s">
        <v>565</v>
      </c>
      <c r="D29" s="316" t="s">
        <v>120</v>
      </c>
      <c r="E29" s="318" t="s">
        <v>1</v>
      </c>
      <c r="F29" s="317" t="s">
        <v>2393</v>
      </c>
      <c r="G29" s="317">
        <v>24.850373000000001</v>
      </c>
      <c r="H29">
        <v>46.670313999999998</v>
      </c>
    </row>
    <row r="30" spans="1:8">
      <c r="A30" s="59">
        <v>29</v>
      </c>
      <c r="B30" s="317" t="s">
        <v>566</v>
      </c>
      <c r="C30" s="317" t="s">
        <v>567</v>
      </c>
      <c r="D30" s="316" t="s">
        <v>109</v>
      </c>
      <c r="E30" s="318" t="s">
        <v>1</v>
      </c>
      <c r="F30" s="317" t="s">
        <v>2394</v>
      </c>
      <c r="G30" s="317">
        <v>24.807580999999999</v>
      </c>
      <c r="H30">
        <v>46.757192000000003</v>
      </c>
    </row>
    <row r="31" spans="1:8">
      <c r="A31" s="59">
        <v>30</v>
      </c>
      <c r="B31" s="317" t="s">
        <v>568</v>
      </c>
      <c r="C31" s="317" t="s">
        <v>569</v>
      </c>
      <c r="D31" s="316" t="s">
        <v>570</v>
      </c>
      <c r="E31" s="318" t="s">
        <v>1</v>
      </c>
      <c r="F31" s="317" t="s">
        <v>2395</v>
      </c>
      <c r="G31" s="317">
        <v>24.824612999999999</v>
      </c>
      <c r="H31">
        <v>46.797517999999997</v>
      </c>
    </row>
    <row r="32" spans="1:8">
      <c r="A32" s="59">
        <v>31</v>
      </c>
      <c r="B32" s="317" t="s">
        <v>571</v>
      </c>
      <c r="C32" s="317" t="s">
        <v>572</v>
      </c>
      <c r="D32" s="316" t="s">
        <v>573</v>
      </c>
      <c r="E32" s="318" t="s">
        <v>1</v>
      </c>
      <c r="F32" s="317" t="s">
        <v>2396</v>
      </c>
      <c r="G32" s="317">
        <v>24.824238999999999</v>
      </c>
      <c r="H32">
        <v>46.797848000000002</v>
      </c>
    </row>
    <row r="33" spans="1:8">
      <c r="A33" s="59">
        <v>32</v>
      </c>
      <c r="B33" s="317" t="s">
        <v>574</v>
      </c>
      <c r="C33" s="317" t="s">
        <v>575</v>
      </c>
      <c r="D33" s="316" t="s">
        <v>576</v>
      </c>
      <c r="E33" s="318" t="s">
        <v>1</v>
      </c>
      <c r="F33" s="317" t="s">
        <v>2397</v>
      </c>
      <c r="G33" s="317">
        <v>24.782677</v>
      </c>
      <c r="H33">
        <v>46.72748</v>
      </c>
    </row>
    <row r="34" spans="1:8">
      <c r="A34" s="59">
        <v>33</v>
      </c>
      <c r="B34" s="317" t="s">
        <v>577</v>
      </c>
      <c r="C34" s="317" t="s">
        <v>578</v>
      </c>
      <c r="D34" s="316" t="s">
        <v>139</v>
      </c>
      <c r="E34" s="318" t="s">
        <v>1</v>
      </c>
      <c r="F34" s="317" t="s">
        <v>2398</v>
      </c>
      <c r="G34" s="317">
        <v>24.779139000000001</v>
      </c>
      <c r="H34">
        <v>46.728772999999997</v>
      </c>
    </row>
    <row r="35" spans="1:8">
      <c r="A35" s="59">
        <v>34</v>
      </c>
      <c r="B35" s="317" t="s">
        <v>579</v>
      </c>
      <c r="C35" s="317" t="s">
        <v>580</v>
      </c>
      <c r="D35" s="316" t="s">
        <v>581</v>
      </c>
      <c r="E35" s="318" t="s">
        <v>1</v>
      </c>
      <c r="F35" s="317" t="s">
        <v>2399</v>
      </c>
      <c r="G35" s="317">
        <v>24.750844000000001</v>
      </c>
      <c r="H35">
        <v>46.743588000000003</v>
      </c>
    </row>
    <row r="36" spans="1:8">
      <c r="A36" s="59">
        <v>35</v>
      </c>
      <c r="B36" s="318" t="s">
        <v>582</v>
      </c>
      <c r="C36" s="317" t="s">
        <v>583</v>
      </c>
      <c r="D36" s="320" t="s">
        <v>584</v>
      </c>
      <c r="E36" s="318" t="s">
        <v>1</v>
      </c>
      <c r="F36" s="321" t="s">
        <v>2400</v>
      </c>
      <c r="G36" s="321">
        <v>24.735074000000001</v>
      </c>
      <c r="H36">
        <v>46.751106</v>
      </c>
    </row>
    <row r="37" spans="1:8">
      <c r="A37" s="59">
        <v>36</v>
      </c>
      <c r="B37" s="318" t="s">
        <v>585</v>
      </c>
      <c r="C37" s="317" t="s">
        <v>586</v>
      </c>
      <c r="D37" s="320" t="s">
        <v>587</v>
      </c>
      <c r="E37" s="318" t="s">
        <v>1</v>
      </c>
      <c r="F37" s="318" t="s">
        <v>2401</v>
      </c>
      <c r="G37" s="318">
        <v>24.736402999999999</v>
      </c>
      <c r="H37">
        <v>46.750815000000003</v>
      </c>
    </row>
    <row r="38" spans="1:8">
      <c r="A38" s="59">
        <v>37</v>
      </c>
      <c r="B38" s="318" t="s">
        <v>588</v>
      </c>
      <c r="C38" s="317" t="s">
        <v>589</v>
      </c>
      <c r="D38" s="320" t="s">
        <v>176</v>
      </c>
      <c r="E38" s="318" t="s">
        <v>1</v>
      </c>
      <c r="F38" s="321" t="s">
        <v>2402</v>
      </c>
      <c r="G38" s="321">
        <v>24.704407</v>
      </c>
      <c r="H38">
        <v>46.768788000000001</v>
      </c>
    </row>
    <row r="39" spans="1:8">
      <c r="A39" s="59">
        <v>38</v>
      </c>
      <c r="B39" s="318" t="s">
        <v>590</v>
      </c>
      <c r="C39" s="318" t="s">
        <v>591</v>
      </c>
      <c r="D39" s="320" t="s">
        <v>111</v>
      </c>
      <c r="E39" s="318" t="s">
        <v>1</v>
      </c>
      <c r="F39" s="321" t="s">
        <v>2403</v>
      </c>
      <c r="G39" s="321">
        <v>24.714580000000002</v>
      </c>
      <c r="H39">
        <v>46.762315999999998</v>
      </c>
    </row>
    <row r="40" spans="1:8">
      <c r="A40" s="59">
        <v>39</v>
      </c>
      <c r="B40" s="318" t="s">
        <v>592</v>
      </c>
      <c r="C40" s="318" t="s">
        <v>593</v>
      </c>
      <c r="D40" s="320" t="s">
        <v>594</v>
      </c>
      <c r="E40" s="318" t="s">
        <v>1</v>
      </c>
      <c r="F40" s="321" t="s">
        <v>2404</v>
      </c>
      <c r="G40" s="321">
        <v>24.714200099999999</v>
      </c>
      <c r="H40">
        <v>46.762869799999997</v>
      </c>
    </row>
    <row r="41" spans="1:8">
      <c r="A41" s="59">
        <v>40</v>
      </c>
      <c r="B41" s="318" t="s">
        <v>595</v>
      </c>
      <c r="C41" s="318" t="s">
        <v>596</v>
      </c>
      <c r="D41" s="320" t="s">
        <v>597</v>
      </c>
      <c r="E41" s="318" t="s">
        <v>1</v>
      </c>
      <c r="F41" s="321" t="s">
        <v>2405</v>
      </c>
      <c r="G41" s="321">
        <v>24.699566999999998</v>
      </c>
      <c r="H41">
        <v>46.771424000000003</v>
      </c>
    </row>
    <row r="42" spans="1:8">
      <c r="A42" s="59">
        <v>41</v>
      </c>
      <c r="B42" s="318" t="s">
        <v>598</v>
      </c>
      <c r="C42" s="318" t="s">
        <v>599</v>
      </c>
      <c r="D42" s="320" t="s">
        <v>600</v>
      </c>
      <c r="E42" s="318" t="s">
        <v>1</v>
      </c>
      <c r="F42" s="321" t="s">
        <v>2402</v>
      </c>
      <c r="G42" s="321">
        <v>24.704407</v>
      </c>
      <c r="H42">
        <v>46.768788000000001</v>
      </c>
    </row>
    <row r="43" spans="1:8">
      <c r="A43" s="59">
        <v>42</v>
      </c>
      <c r="B43" s="318" t="s">
        <v>601</v>
      </c>
      <c r="C43" s="318" t="s">
        <v>602</v>
      </c>
      <c r="D43" s="320" t="s">
        <v>603</v>
      </c>
      <c r="E43" s="318" t="s">
        <v>1</v>
      </c>
      <c r="F43" s="321" t="s">
        <v>2406</v>
      </c>
      <c r="G43" s="321">
        <v>24.718325</v>
      </c>
      <c r="H43">
        <v>46.768059999999998</v>
      </c>
    </row>
    <row r="44" spans="1:8">
      <c r="A44" s="59">
        <v>43</v>
      </c>
      <c r="B44" s="318" t="s">
        <v>604</v>
      </c>
      <c r="C44" s="318" t="s">
        <v>605</v>
      </c>
      <c r="D44" s="320" t="s">
        <v>606</v>
      </c>
      <c r="E44" s="318" t="s">
        <v>1</v>
      </c>
      <c r="F44" s="321" t="s">
        <v>2407</v>
      </c>
      <c r="G44" s="321">
        <v>24.724049999999998</v>
      </c>
      <c r="H44">
        <v>46.776826999999997</v>
      </c>
    </row>
    <row r="45" spans="1:8">
      <c r="A45" s="59">
        <v>44</v>
      </c>
      <c r="B45" s="318" t="s">
        <v>607</v>
      </c>
      <c r="C45" s="318" t="s">
        <v>608</v>
      </c>
      <c r="D45" s="320" t="s">
        <v>609</v>
      </c>
      <c r="E45" s="318" t="s">
        <v>1</v>
      </c>
      <c r="F45" s="321" t="s">
        <v>2408</v>
      </c>
      <c r="G45" s="321">
        <v>24.735455999999999</v>
      </c>
      <c r="H45">
        <v>46.795608000000001</v>
      </c>
    </row>
    <row r="46" spans="1:8">
      <c r="A46" s="59">
        <v>45</v>
      </c>
      <c r="B46" s="318" t="s">
        <v>610</v>
      </c>
      <c r="C46" s="318" t="s">
        <v>611</v>
      </c>
      <c r="D46" s="320" t="s">
        <v>612</v>
      </c>
      <c r="E46" s="318" t="s">
        <v>1</v>
      </c>
      <c r="F46" s="321" t="s">
        <v>2408</v>
      </c>
      <c r="G46" s="321">
        <v>24.735455999999999</v>
      </c>
      <c r="H46">
        <v>46.795608000000001</v>
      </c>
    </row>
    <row r="47" spans="1:8">
      <c r="A47" s="59">
        <v>46</v>
      </c>
      <c r="B47" s="318" t="s">
        <v>613</v>
      </c>
      <c r="C47" s="318" t="s">
        <v>614</v>
      </c>
      <c r="D47" s="320" t="s">
        <v>615</v>
      </c>
      <c r="E47" s="318" t="s">
        <v>1</v>
      </c>
      <c r="F47" s="321" t="s">
        <v>2409</v>
      </c>
      <c r="G47" s="321">
        <v>24.753758000000001</v>
      </c>
      <c r="H47">
        <v>46.824703</v>
      </c>
    </row>
    <row r="48" spans="1:8">
      <c r="A48" s="59">
        <v>47</v>
      </c>
      <c r="B48" s="318" t="s">
        <v>616</v>
      </c>
      <c r="C48" s="318" t="s">
        <v>617</v>
      </c>
      <c r="D48" s="320" t="s">
        <v>618</v>
      </c>
      <c r="E48" s="318" t="s">
        <v>1</v>
      </c>
      <c r="F48" s="321" t="s">
        <v>2410</v>
      </c>
      <c r="G48" s="321">
        <v>24.772566999999999</v>
      </c>
      <c r="H48">
        <v>46.847538999999998</v>
      </c>
    </row>
    <row r="49" spans="1:10">
      <c r="A49" s="59">
        <v>48</v>
      </c>
      <c r="B49" s="318" t="s">
        <v>619</v>
      </c>
      <c r="C49" s="318" t="s">
        <v>620</v>
      </c>
      <c r="D49" s="320" t="s">
        <v>621</v>
      </c>
      <c r="E49" s="318" t="s">
        <v>1</v>
      </c>
      <c r="F49" s="321" t="s">
        <v>2411</v>
      </c>
      <c r="G49" s="321">
        <v>24.80414</v>
      </c>
      <c r="H49">
        <v>46.853825000000001</v>
      </c>
    </row>
    <row r="50" spans="1:10">
      <c r="A50" s="59">
        <v>49</v>
      </c>
      <c r="B50" s="318" t="s">
        <v>622</v>
      </c>
      <c r="C50" s="318" t="s">
        <v>623</v>
      </c>
      <c r="D50" s="320" t="s">
        <v>110</v>
      </c>
      <c r="E50" s="318" t="s">
        <v>1</v>
      </c>
      <c r="F50" s="321" t="s">
        <v>2412</v>
      </c>
      <c r="G50" s="321">
        <v>24.708805000000002</v>
      </c>
      <c r="H50">
        <v>46.765934999999999</v>
      </c>
    </row>
    <row r="51" spans="1:10">
      <c r="A51" s="59">
        <v>50</v>
      </c>
      <c r="B51" s="318" t="s">
        <v>624</v>
      </c>
      <c r="C51" s="318" t="s">
        <v>625</v>
      </c>
      <c r="D51" s="320" t="s">
        <v>143</v>
      </c>
      <c r="E51" s="318" t="s">
        <v>1</v>
      </c>
      <c r="F51" s="321" t="s">
        <v>2413</v>
      </c>
      <c r="G51" s="321">
        <v>24.693355</v>
      </c>
      <c r="H51">
        <v>46.773648000000001</v>
      </c>
    </row>
    <row r="52" spans="1:10">
      <c r="A52" s="59">
        <v>51</v>
      </c>
      <c r="B52" s="318" t="s">
        <v>626</v>
      </c>
      <c r="C52" s="318" t="s">
        <v>627</v>
      </c>
      <c r="D52" s="320" t="s">
        <v>628</v>
      </c>
      <c r="E52" s="318" t="s">
        <v>1</v>
      </c>
      <c r="F52" s="321" t="s">
        <v>2414</v>
      </c>
      <c r="G52" s="321">
        <v>24.696107999999999</v>
      </c>
      <c r="H52">
        <v>46.773232</v>
      </c>
    </row>
    <row r="53" spans="1:10">
      <c r="A53" s="59">
        <v>52</v>
      </c>
      <c r="B53" s="318" t="s">
        <v>629</v>
      </c>
      <c r="C53" s="318" t="s">
        <v>630</v>
      </c>
      <c r="D53" s="320" t="s">
        <v>631</v>
      </c>
      <c r="E53" s="318" t="s">
        <v>1</v>
      </c>
      <c r="F53" s="321" t="s">
        <v>2415</v>
      </c>
      <c r="G53" s="321">
        <v>24.685003999999999</v>
      </c>
      <c r="H53">
        <v>46.776490000000003</v>
      </c>
    </row>
    <row r="54" spans="1:10">
      <c r="A54" s="59">
        <v>53</v>
      </c>
      <c r="B54" s="318" t="s">
        <v>632</v>
      </c>
      <c r="C54" s="318" t="s">
        <v>633</v>
      </c>
      <c r="D54" s="320" t="s">
        <v>634</v>
      </c>
      <c r="E54" s="318" t="s">
        <v>1</v>
      </c>
      <c r="F54" s="321" t="s">
        <v>2416</v>
      </c>
      <c r="G54" s="321">
        <v>24.685945</v>
      </c>
      <c r="H54">
        <v>46.776603999999999</v>
      </c>
      <c r="J54" s="321">
        <v>24.685003999999999</v>
      </c>
    </row>
    <row r="55" spans="1:10">
      <c r="A55" s="59">
        <v>54</v>
      </c>
      <c r="B55" s="318" t="s">
        <v>635</v>
      </c>
      <c r="C55" s="318" t="s">
        <v>636</v>
      </c>
      <c r="D55" s="320" t="s">
        <v>637</v>
      </c>
      <c r="E55" s="318" t="s">
        <v>1</v>
      </c>
      <c r="F55" s="321" t="s">
        <v>2417</v>
      </c>
      <c r="G55" s="321">
        <v>24.671478</v>
      </c>
      <c r="H55">
        <v>46.780929999999998</v>
      </c>
    </row>
    <row r="56" spans="1:10">
      <c r="A56" s="59">
        <v>55</v>
      </c>
      <c r="B56" s="318" t="s">
        <v>638</v>
      </c>
      <c r="C56" s="318" t="s">
        <v>639</v>
      </c>
      <c r="D56" s="320" t="s">
        <v>144</v>
      </c>
      <c r="E56" s="318" t="s">
        <v>1</v>
      </c>
      <c r="F56" s="321" t="s">
        <v>2418</v>
      </c>
      <c r="G56" s="321">
        <v>24.671119999999998</v>
      </c>
      <c r="H56">
        <v>46.781692</v>
      </c>
    </row>
    <row r="57" spans="1:10">
      <c r="A57" s="59">
        <v>56</v>
      </c>
      <c r="B57" s="318" t="s">
        <v>640</v>
      </c>
      <c r="C57" s="318" t="s">
        <v>641</v>
      </c>
      <c r="D57" s="320" t="s">
        <v>642</v>
      </c>
      <c r="E57" s="318" t="s">
        <v>1</v>
      </c>
      <c r="F57" s="321" t="s">
        <v>2419</v>
      </c>
      <c r="G57" s="321">
        <v>24.648381000000001</v>
      </c>
      <c r="H57">
        <v>46.794659000000003</v>
      </c>
    </row>
    <row r="58" spans="1:10">
      <c r="A58" s="59">
        <v>57</v>
      </c>
      <c r="B58" s="318" t="s">
        <v>643</v>
      </c>
      <c r="C58" s="318" t="s">
        <v>644</v>
      </c>
      <c r="D58" s="320" t="s">
        <v>645</v>
      </c>
      <c r="E58" s="318" t="s">
        <v>1</v>
      </c>
      <c r="F58" s="321" t="s">
        <v>2420</v>
      </c>
      <c r="G58" s="321">
        <v>24.645902</v>
      </c>
      <c r="H58">
        <v>46.795440999999997</v>
      </c>
    </row>
    <row r="59" spans="1:10">
      <c r="A59" s="59">
        <v>58</v>
      </c>
      <c r="B59" s="318" t="s">
        <v>646</v>
      </c>
      <c r="C59" s="318" t="s">
        <v>647</v>
      </c>
      <c r="D59" s="320" t="s">
        <v>116</v>
      </c>
      <c r="E59" s="318" t="s">
        <v>1</v>
      </c>
      <c r="F59" s="321" t="s">
        <v>2421</v>
      </c>
      <c r="G59" s="321">
        <v>24.609172000000001</v>
      </c>
      <c r="H59">
        <v>46.828383000000002</v>
      </c>
    </row>
    <row r="60" spans="1:10">
      <c r="A60" s="59">
        <v>59</v>
      </c>
      <c r="B60" s="318" t="s">
        <v>648</v>
      </c>
      <c r="C60" s="318" t="s">
        <v>649</v>
      </c>
      <c r="D60" s="320" t="s">
        <v>650</v>
      </c>
      <c r="E60" s="318" t="s">
        <v>1</v>
      </c>
      <c r="F60" s="321" t="s">
        <v>2422</v>
      </c>
      <c r="G60" s="321">
        <v>24.626068</v>
      </c>
      <c r="H60">
        <v>46.805346999999998</v>
      </c>
    </row>
    <row r="61" spans="1:10">
      <c r="A61" s="59">
        <v>60</v>
      </c>
      <c r="B61" s="318" t="s">
        <v>651</v>
      </c>
      <c r="C61" s="318" t="s">
        <v>652</v>
      </c>
      <c r="D61" s="320" t="s">
        <v>653</v>
      </c>
      <c r="E61" s="318" t="s">
        <v>1</v>
      </c>
      <c r="F61" s="321" t="s">
        <v>2423</v>
      </c>
      <c r="G61" s="321">
        <v>24.628025999999998</v>
      </c>
      <c r="H61">
        <v>46.794643000000001</v>
      </c>
    </row>
    <row r="62" spans="1:10">
      <c r="A62" s="59">
        <v>61</v>
      </c>
      <c r="B62" s="318" t="s">
        <v>654</v>
      </c>
      <c r="C62" s="318" t="s">
        <v>655</v>
      </c>
      <c r="D62" s="320" t="s">
        <v>106</v>
      </c>
      <c r="E62" s="318" t="s">
        <v>1</v>
      </c>
      <c r="F62" s="321" t="s">
        <v>2424</v>
      </c>
      <c r="G62" s="321" t="s">
        <v>2425</v>
      </c>
      <c r="H62">
        <v>46.783608000000001</v>
      </c>
    </row>
    <row r="63" spans="1:10">
      <c r="A63" s="59">
        <v>62</v>
      </c>
      <c r="B63" s="318" t="s">
        <v>656</v>
      </c>
      <c r="C63" s="318" t="s">
        <v>657</v>
      </c>
      <c r="D63" s="320" t="s">
        <v>658</v>
      </c>
      <c r="E63" s="318" t="s">
        <v>1</v>
      </c>
      <c r="F63" s="321" t="s">
        <v>2426</v>
      </c>
      <c r="G63" s="321">
        <v>24.706468999999998</v>
      </c>
      <c r="H63">
        <v>46.748997000000003</v>
      </c>
    </row>
    <row r="64" spans="1:10">
      <c r="A64" s="59">
        <v>63</v>
      </c>
      <c r="B64" s="317" t="s">
        <v>659</v>
      </c>
      <c r="C64" s="317" t="s">
        <v>660</v>
      </c>
      <c r="D64" s="320" t="s">
        <v>661</v>
      </c>
      <c r="E64" s="318" t="s">
        <v>1</v>
      </c>
      <c r="F64" s="317" t="s">
        <v>2427</v>
      </c>
      <c r="G64" s="317">
        <v>24.689983999999999</v>
      </c>
      <c r="H64">
        <v>46.714542000000002</v>
      </c>
    </row>
    <row r="65" spans="1:8">
      <c r="A65" s="59">
        <v>64</v>
      </c>
      <c r="B65" s="317" t="s">
        <v>662</v>
      </c>
      <c r="C65" s="317" t="s">
        <v>663</v>
      </c>
      <c r="D65" s="320" t="s">
        <v>664</v>
      </c>
      <c r="E65" s="318" t="s">
        <v>1</v>
      </c>
      <c r="F65" s="317" t="s">
        <v>2428</v>
      </c>
      <c r="G65" s="317">
        <v>24.687711</v>
      </c>
      <c r="H65">
        <v>46.709960000000002</v>
      </c>
    </row>
    <row r="66" spans="1:8">
      <c r="A66" s="59">
        <v>65</v>
      </c>
      <c r="B66" s="317" t="s">
        <v>665</v>
      </c>
      <c r="C66" s="317" t="s">
        <v>666</v>
      </c>
      <c r="D66" s="320" t="s">
        <v>667</v>
      </c>
      <c r="E66" s="318" t="s">
        <v>1</v>
      </c>
      <c r="F66" s="317" t="s">
        <v>2429</v>
      </c>
      <c r="G66" s="317">
        <v>24.685437</v>
      </c>
      <c r="H66">
        <v>46.704503000000003</v>
      </c>
    </row>
    <row r="67" spans="1:8">
      <c r="A67" s="59">
        <v>66</v>
      </c>
      <c r="B67" s="317" t="s">
        <v>668</v>
      </c>
      <c r="C67" s="317" t="s">
        <v>669</v>
      </c>
      <c r="D67" s="320" t="s">
        <v>670</v>
      </c>
      <c r="E67" s="318" t="s">
        <v>1</v>
      </c>
      <c r="F67" s="317" t="s">
        <v>2430</v>
      </c>
      <c r="G67" s="317">
        <v>24.68469</v>
      </c>
      <c r="H67">
        <v>46.702336000000003</v>
      </c>
    </row>
    <row r="68" spans="1:8">
      <c r="A68" s="59">
        <v>67</v>
      </c>
      <c r="B68" s="317" t="s">
        <v>671</v>
      </c>
      <c r="C68" s="317" t="s">
        <v>672</v>
      </c>
      <c r="D68" s="320" t="s">
        <v>673</v>
      </c>
      <c r="E68" s="318" t="s">
        <v>1</v>
      </c>
      <c r="F68" s="317" t="s">
        <v>2431</v>
      </c>
      <c r="G68" s="317">
        <v>24.681989999999999</v>
      </c>
      <c r="H68">
        <v>46.696544000000003</v>
      </c>
    </row>
    <row r="69" spans="1:8">
      <c r="A69" s="59">
        <v>68</v>
      </c>
      <c r="B69" s="318" t="s">
        <v>674</v>
      </c>
      <c r="C69" s="318" t="s">
        <v>675</v>
      </c>
      <c r="D69" s="320" t="s">
        <v>151</v>
      </c>
      <c r="E69" s="318" t="s">
        <v>1</v>
      </c>
      <c r="F69" s="318" t="s">
        <v>2432</v>
      </c>
      <c r="G69" s="318">
        <v>24.679068000000001</v>
      </c>
      <c r="H69">
        <v>46.688918999999999</v>
      </c>
    </row>
    <row r="70" spans="1:8">
      <c r="A70" s="59">
        <v>69</v>
      </c>
      <c r="B70" s="318" t="s">
        <v>676</v>
      </c>
      <c r="C70" s="318" t="s">
        <v>677</v>
      </c>
      <c r="D70" s="320" t="s">
        <v>678</v>
      </c>
      <c r="E70" s="318" t="s">
        <v>1</v>
      </c>
      <c r="F70" s="318" t="s">
        <v>2433</v>
      </c>
      <c r="G70" s="318">
        <v>24.679556999999999</v>
      </c>
      <c r="H70">
        <v>46.691127000000002</v>
      </c>
    </row>
    <row r="71" spans="1:8">
      <c r="A71" s="59">
        <v>70</v>
      </c>
      <c r="B71" s="318" t="s">
        <v>679</v>
      </c>
      <c r="C71" s="318" t="s">
        <v>680</v>
      </c>
      <c r="D71" s="320" t="s">
        <v>117</v>
      </c>
      <c r="E71" s="318" t="s">
        <v>1</v>
      </c>
      <c r="F71" s="318" t="s">
        <v>2434</v>
      </c>
      <c r="G71" s="318">
        <v>24.67651</v>
      </c>
      <c r="H71">
        <v>46.682608000000002</v>
      </c>
    </row>
    <row r="72" spans="1:8">
      <c r="A72" s="59">
        <v>71</v>
      </c>
      <c r="B72" s="318" t="s">
        <v>74</v>
      </c>
      <c r="C72" s="318" t="s">
        <v>681</v>
      </c>
      <c r="D72" s="322" t="s">
        <v>157</v>
      </c>
      <c r="E72" s="322" t="s">
        <v>51</v>
      </c>
      <c r="F72" s="323">
        <v>24675193346.703499</v>
      </c>
      <c r="G72" s="323">
        <v>246751933</v>
      </c>
      <c r="H72">
        <v>46.703578899999997</v>
      </c>
    </row>
    <row r="73" spans="1:8">
      <c r="A73" s="59">
        <v>72</v>
      </c>
      <c r="B73" s="318" t="s">
        <v>74</v>
      </c>
      <c r="C73" s="318" t="s">
        <v>682</v>
      </c>
      <c r="D73" s="322" t="s">
        <v>683</v>
      </c>
      <c r="E73" s="322" t="s">
        <v>51</v>
      </c>
      <c r="F73" s="323" t="s">
        <v>2435</v>
      </c>
      <c r="G73" s="323">
        <v>24.675801100000001</v>
      </c>
      <c r="H73">
        <v>46.703166199999998</v>
      </c>
    </row>
    <row r="74" spans="1:8">
      <c r="A74" s="59">
        <v>73</v>
      </c>
      <c r="B74" s="318" t="s">
        <v>74</v>
      </c>
      <c r="C74" s="318" t="s">
        <v>684</v>
      </c>
      <c r="D74" s="322" t="s">
        <v>685</v>
      </c>
      <c r="E74" s="322" t="s">
        <v>51</v>
      </c>
      <c r="F74" s="323">
        <v>246.675852046703</v>
      </c>
      <c r="G74" s="323">
        <v>246.67585199999999</v>
      </c>
      <c r="H74">
        <v>467031484</v>
      </c>
    </row>
    <row r="75" spans="1:8">
      <c r="A75" s="59">
        <v>74</v>
      </c>
      <c r="B75" s="318" t="s">
        <v>74</v>
      </c>
      <c r="C75" s="318" t="s">
        <v>686</v>
      </c>
      <c r="D75" s="322" t="s">
        <v>687</v>
      </c>
      <c r="E75" s="322" t="s">
        <v>51</v>
      </c>
      <c r="F75" s="323" t="s">
        <v>2436</v>
      </c>
      <c r="G75" s="323">
        <v>24.675140599999999</v>
      </c>
      <c r="H75">
        <v>46.703609399999998</v>
      </c>
    </row>
    <row r="76" spans="1:8">
      <c r="A76" s="59">
        <v>75</v>
      </c>
      <c r="B76" s="318" t="s">
        <v>74</v>
      </c>
      <c r="C76" s="318" t="s">
        <v>688</v>
      </c>
      <c r="D76" s="322" t="s">
        <v>689</v>
      </c>
      <c r="E76" s="322" t="s">
        <v>51</v>
      </c>
      <c r="F76" s="323">
        <v>24.675116646703302</v>
      </c>
      <c r="G76" s="323">
        <v>24.675116599999999</v>
      </c>
      <c r="H76">
        <v>467033459</v>
      </c>
    </row>
    <row r="77" spans="1:8">
      <c r="A77" s="59">
        <v>76</v>
      </c>
      <c r="B77" s="318" t="s">
        <v>690</v>
      </c>
      <c r="C77" s="318" t="s">
        <v>691</v>
      </c>
      <c r="D77" s="322" t="s">
        <v>135</v>
      </c>
      <c r="E77" s="322" t="s">
        <v>16</v>
      </c>
      <c r="F77" s="322" t="s">
        <v>2437</v>
      </c>
      <c r="G77" s="322">
        <v>24.670064</v>
      </c>
      <c r="H77">
        <v>46.698566999999997</v>
      </c>
    </row>
    <row r="78" spans="1:8">
      <c r="A78" s="59">
        <v>77</v>
      </c>
      <c r="B78" s="318" t="s">
        <v>690</v>
      </c>
      <c r="C78" s="318" t="s">
        <v>692</v>
      </c>
      <c r="D78" s="322" t="s">
        <v>693</v>
      </c>
      <c r="E78" s="322" t="s">
        <v>16</v>
      </c>
      <c r="F78" s="323" t="s">
        <v>2438</v>
      </c>
      <c r="G78" s="323">
        <v>24.670189000000001</v>
      </c>
      <c r="H78">
        <v>46.698084000000001</v>
      </c>
    </row>
    <row r="79" spans="1:8">
      <c r="A79" s="59">
        <v>78</v>
      </c>
      <c r="B79" s="318" t="s">
        <v>690</v>
      </c>
      <c r="C79" s="318" t="s">
        <v>694</v>
      </c>
      <c r="D79" s="322" t="s">
        <v>695</v>
      </c>
      <c r="E79" s="322" t="s">
        <v>16</v>
      </c>
      <c r="F79" s="323" t="s">
        <v>2439</v>
      </c>
      <c r="G79" s="323">
        <v>24.670259000000001</v>
      </c>
      <c r="H79">
        <v>46.698089000000003</v>
      </c>
    </row>
    <row r="80" spans="1:8">
      <c r="A80" s="59">
        <v>79</v>
      </c>
      <c r="B80" s="318" t="s">
        <v>690</v>
      </c>
      <c r="C80" s="318" t="s">
        <v>696</v>
      </c>
      <c r="D80" s="322" t="s">
        <v>697</v>
      </c>
      <c r="E80" s="322" t="s">
        <v>16</v>
      </c>
      <c r="F80" s="323" t="s">
        <v>2440</v>
      </c>
      <c r="G80" s="323">
        <v>24.669910999999999</v>
      </c>
      <c r="H80">
        <v>46.698511000000003</v>
      </c>
    </row>
    <row r="81" spans="1:8">
      <c r="A81" s="59">
        <v>80</v>
      </c>
      <c r="B81" s="318" t="s">
        <v>698</v>
      </c>
      <c r="C81" s="318" t="s">
        <v>699</v>
      </c>
      <c r="D81" s="318" t="s">
        <v>132</v>
      </c>
      <c r="E81" s="318" t="s">
        <v>65</v>
      </c>
      <c r="F81" s="321" t="s">
        <v>2441</v>
      </c>
      <c r="G81" s="321">
        <v>24.660921999999999</v>
      </c>
      <c r="H81">
        <v>46.685046999999997</v>
      </c>
    </row>
    <row r="82" spans="1:8">
      <c r="A82" s="59">
        <v>81</v>
      </c>
      <c r="B82" s="318" t="s">
        <v>698</v>
      </c>
      <c r="C82" s="318" t="s">
        <v>700</v>
      </c>
      <c r="D82" s="318" t="s">
        <v>701</v>
      </c>
      <c r="E82" s="318" t="s">
        <v>65</v>
      </c>
      <c r="F82" s="321" t="s">
        <v>2442</v>
      </c>
      <c r="G82" s="321">
        <v>24.660736</v>
      </c>
      <c r="H82">
        <v>46.685381</v>
      </c>
    </row>
    <row r="83" spans="1:8">
      <c r="A83" s="59">
        <v>82</v>
      </c>
      <c r="B83" s="318" t="s">
        <v>698</v>
      </c>
      <c r="C83" s="318" t="s">
        <v>702</v>
      </c>
      <c r="D83" s="318" t="s">
        <v>703</v>
      </c>
      <c r="E83" s="318" t="s">
        <v>65</v>
      </c>
      <c r="F83" s="321" t="s">
        <v>2443</v>
      </c>
      <c r="G83" s="321">
        <v>24.660754000000001</v>
      </c>
      <c r="H83">
        <v>46.684930999999999</v>
      </c>
    </row>
    <row r="84" spans="1:8">
      <c r="A84" s="59">
        <v>83</v>
      </c>
      <c r="B84" s="318" t="s">
        <v>698</v>
      </c>
      <c r="C84" s="318" t="s">
        <v>704</v>
      </c>
      <c r="D84" s="318" t="s">
        <v>705</v>
      </c>
      <c r="E84" s="318" t="s">
        <v>65</v>
      </c>
      <c r="F84" s="321" t="s">
        <v>2444</v>
      </c>
      <c r="G84" s="321">
        <v>24.661128999999999</v>
      </c>
      <c r="H84">
        <v>46.684944000000002</v>
      </c>
    </row>
    <row r="85" spans="1:8">
      <c r="A85" s="59">
        <v>84</v>
      </c>
      <c r="B85" s="318" t="s">
        <v>698</v>
      </c>
      <c r="C85" s="318" t="s">
        <v>706</v>
      </c>
      <c r="D85" s="318" t="s">
        <v>707</v>
      </c>
      <c r="E85" s="318" t="s">
        <v>65</v>
      </c>
      <c r="F85" s="324" t="s">
        <v>2445</v>
      </c>
      <c r="G85" s="324">
        <v>24.661168</v>
      </c>
      <c r="H85">
        <v>46.684767999999998</v>
      </c>
    </row>
    <row r="86" spans="1:8">
      <c r="A86" s="59">
        <v>85</v>
      </c>
      <c r="B86" s="318" t="s">
        <v>698</v>
      </c>
      <c r="C86" s="318" t="s">
        <v>708</v>
      </c>
      <c r="D86" s="318" t="s">
        <v>709</v>
      </c>
      <c r="E86" s="318" t="s">
        <v>65</v>
      </c>
      <c r="F86" s="321" t="s">
        <v>2446</v>
      </c>
      <c r="G86" s="321">
        <v>24.660627999999999</v>
      </c>
      <c r="H86">
        <v>46.685170999999997</v>
      </c>
    </row>
    <row r="87" spans="1:8">
      <c r="A87" s="59">
        <v>86</v>
      </c>
      <c r="B87" s="318" t="s">
        <v>698</v>
      </c>
      <c r="C87" s="318" t="s">
        <v>710</v>
      </c>
      <c r="D87" s="318" t="s">
        <v>711</v>
      </c>
      <c r="E87" s="318" t="s">
        <v>65</v>
      </c>
      <c r="F87" s="321" t="s">
        <v>2447</v>
      </c>
      <c r="G87" s="321">
        <v>24.661255000000001</v>
      </c>
      <c r="H87">
        <v>46.684877999999998</v>
      </c>
    </row>
    <row r="88" spans="1:8">
      <c r="A88" s="59">
        <v>87</v>
      </c>
      <c r="B88" s="318" t="s">
        <v>712</v>
      </c>
      <c r="C88" s="318" t="s">
        <v>713</v>
      </c>
      <c r="D88" s="318" t="s">
        <v>133</v>
      </c>
      <c r="E88" s="318" t="s">
        <v>48</v>
      </c>
      <c r="F88" s="321" t="s">
        <v>2448</v>
      </c>
      <c r="G88" s="321">
        <v>24.656399</v>
      </c>
      <c r="H88">
        <v>46.678382999999997</v>
      </c>
    </row>
    <row r="89" spans="1:8">
      <c r="A89" s="59">
        <v>88</v>
      </c>
      <c r="B89" s="318" t="s">
        <v>712</v>
      </c>
      <c r="C89" s="318" t="s">
        <v>714</v>
      </c>
      <c r="D89" s="318" t="s">
        <v>715</v>
      </c>
      <c r="E89" s="318" t="s">
        <v>48</v>
      </c>
      <c r="F89" s="321" t="s">
        <v>2449</v>
      </c>
      <c r="G89" s="321">
        <v>24.656424000000001</v>
      </c>
      <c r="H89">
        <v>46.678649</v>
      </c>
    </row>
    <row r="90" spans="1:8">
      <c r="A90" s="59">
        <v>89</v>
      </c>
      <c r="B90" s="318" t="s">
        <v>712</v>
      </c>
      <c r="C90" s="318" t="s">
        <v>716</v>
      </c>
      <c r="D90" s="318" t="s">
        <v>717</v>
      </c>
      <c r="E90" s="318" t="s">
        <v>48</v>
      </c>
      <c r="F90" s="321" t="s">
        <v>2450</v>
      </c>
      <c r="G90" s="321">
        <v>24.656959000000001</v>
      </c>
      <c r="H90">
        <v>46.678581999999999</v>
      </c>
    </row>
    <row r="91" spans="1:8">
      <c r="A91" s="59">
        <v>90</v>
      </c>
      <c r="B91" s="318" t="s">
        <v>712</v>
      </c>
      <c r="C91" s="318" t="s">
        <v>718</v>
      </c>
      <c r="D91" s="318" t="s">
        <v>719</v>
      </c>
      <c r="E91" s="318" t="s">
        <v>48</v>
      </c>
      <c r="F91" s="321" t="s">
        <v>2451</v>
      </c>
      <c r="G91" s="321">
        <v>24.656694999999999</v>
      </c>
      <c r="H91">
        <v>46.678915000000003</v>
      </c>
    </row>
    <row r="92" spans="1:8">
      <c r="A92" s="59">
        <v>91</v>
      </c>
      <c r="B92" s="318" t="s">
        <v>712</v>
      </c>
      <c r="C92" s="318" t="s">
        <v>720</v>
      </c>
      <c r="D92" s="318" t="s">
        <v>721</v>
      </c>
      <c r="E92" s="318" t="s">
        <v>48</v>
      </c>
      <c r="F92" s="321" t="s">
        <v>2452</v>
      </c>
      <c r="G92" s="321">
        <v>24.656279999999999</v>
      </c>
      <c r="H92">
        <v>46.678472999999997</v>
      </c>
    </row>
    <row r="93" spans="1:8">
      <c r="A93" s="59">
        <v>92</v>
      </c>
      <c r="B93" s="318" t="s">
        <v>722</v>
      </c>
      <c r="C93" s="318" t="s">
        <v>723</v>
      </c>
      <c r="D93" s="322" t="s">
        <v>724</v>
      </c>
      <c r="E93" s="322" t="s">
        <v>36</v>
      </c>
      <c r="F93" s="322" t="s">
        <v>2453</v>
      </c>
      <c r="G93" s="322">
        <v>24.695506200000001</v>
      </c>
      <c r="H93">
        <v>46.6802001</v>
      </c>
    </row>
    <row r="94" spans="1:8">
      <c r="A94" s="59">
        <v>93</v>
      </c>
      <c r="B94" s="318" t="s">
        <v>722</v>
      </c>
      <c r="C94" s="318" t="s">
        <v>725</v>
      </c>
      <c r="D94" s="322" t="s">
        <v>726</v>
      </c>
      <c r="E94" s="322" t="s">
        <v>36</v>
      </c>
      <c r="F94" s="322" t="s">
        <v>2454</v>
      </c>
      <c r="G94" s="322">
        <v>24.694613100000002</v>
      </c>
      <c r="H94">
        <v>46.680664100000001</v>
      </c>
    </row>
    <row r="95" spans="1:8">
      <c r="A95" s="59">
        <v>94</v>
      </c>
      <c r="B95" s="318" t="s">
        <v>722</v>
      </c>
      <c r="C95" s="318" t="s">
        <v>727</v>
      </c>
      <c r="D95" s="322" t="s">
        <v>728</v>
      </c>
      <c r="E95" s="322" t="s">
        <v>36</v>
      </c>
      <c r="F95" s="322" t="s">
        <v>2455</v>
      </c>
      <c r="G95" s="322">
        <v>24.694731300000001</v>
      </c>
      <c r="H95">
        <v>46.680810999999999</v>
      </c>
    </row>
    <row r="96" spans="1:8">
      <c r="A96" s="59">
        <v>95</v>
      </c>
      <c r="B96" s="318" t="s">
        <v>722</v>
      </c>
      <c r="C96" s="318" t="s">
        <v>729</v>
      </c>
      <c r="D96" s="322" t="s">
        <v>730</v>
      </c>
      <c r="E96" s="322" t="s">
        <v>36</v>
      </c>
      <c r="F96" s="322" t="s">
        <v>2456</v>
      </c>
      <c r="G96" s="322">
        <v>24.693237100000001</v>
      </c>
      <c r="H96">
        <v>46.681692400000003</v>
      </c>
    </row>
    <row r="97" spans="1:8">
      <c r="A97" s="59">
        <v>96</v>
      </c>
      <c r="B97" s="318" t="s">
        <v>722</v>
      </c>
      <c r="C97" s="318" t="s">
        <v>731</v>
      </c>
      <c r="D97" s="322" t="s">
        <v>732</v>
      </c>
      <c r="E97" s="322" t="s">
        <v>36</v>
      </c>
      <c r="F97" s="322" t="s">
        <v>2457</v>
      </c>
      <c r="G97" s="322">
        <v>24.697246100000001</v>
      </c>
      <c r="H97">
        <v>46.679278099999998</v>
      </c>
    </row>
    <row r="98" spans="1:8">
      <c r="A98" s="59">
        <v>97</v>
      </c>
      <c r="B98" s="318" t="s">
        <v>722</v>
      </c>
      <c r="C98" s="318" t="s">
        <v>733</v>
      </c>
      <c r="D98" s="322" t="s">
        <v>734</v>
      </c>
      <c r="E98" s="322" t="s">
        <v>36</v>
      </c>
      <c r="F98" s="322" t="s">
        <v>2458</v>
      </c>
      <c r="G98" s="322">
        <v>24.695513200000001</v>
      </c>
      <c r="H98">
        <v>46.680395900000001</v>
      </c>
    </row>
    <row r="99" spans="1:8">
      <c r="A99" s="59">
        <v>98</v>
      </c>
      <c r="B99" s="318" t="s">
        <v>722</v>
      </c>
      <c r="C99" s="318" t="s">
        <v>735</v>
      </c>
      <c r="D99" s="322" t="s">
        <v>736</v>
      </c>
      <c r="E99" s="322" t="s">
        <v>36</v>
      </c>
      <c r="F99" s="323" t="s">
        <v>2459</v>
      </c>
      <c r="G99" s="323">
        <v>24.694740400000001</v>
      </c>
      <c r="H99">
        <v>46.680801299999999</v>
      </c>
    </row>
    <row r="100" spans="1:8">
      <c r="A100" s="59">
        <v>99</v>
      </c>
      <c r="B100" s="318" t="s">
        <v>722</v>
      </c>
      <c r="C100" s="318" t="s">
        <v>737</v>
      </c>
      <c r="D100" s="322" t="s">
        <v>140</v>
      </c>
      <c r="E100" s="322" t="s">
        <v>36</v>
      </c>
      <c r="F100" s="322" t="s">
        <v>2460</v>
      </c>
      <c r="G100" s="322">
        <v>24.6956512</v>
      </c>
      <c r="H100">
        <v>46.680338900000002</v>
      </c>
    </row>
    <row r="101" spans="1:8">
      <c r="A101" s="59">
        <v>100</v>
      </c>
      <c r="B101" s="318" t="s">
        <v>722</v>
      </c>
      <c r="C101" s="318" t="s">
        <v>738</v>
      </c>
      <c r="D101" s="322" t="s">
        <v>739</v>
      </c>
      <c r="E101" s="322" t="s">
        <v>36</v>
      </c>
      <c r="F101" s="322" t="s">
        <v>2461</v>
      </c>
      <c r="G101" s="322">
        <v>24.694644499999999</v>
      </c>
      <c r="H101">
        <v>46.680847499999999</v>
      </c>
    </row>
    <row r="102" spans="1:8">
      <c r="A102" s="59">
        <v>101</v>
      </c>
      <c r="B102" s="318" t="s">
        <v>722</v>
      </c>
      <c r="C102" s="318" t="s">
        <v>740</v>
      </c>
      <c r="D102" s="322" t="s">
        <v>741</v>
      </c>
      <c r="E102" s="322" t="s">
        <v>36</v>
      </c>
      <c r="F102" s="322" t="s">
        <v>2455</v>
      </c>
      <c r="G102" s="322">
        <v>24.694731300000001</v>
      </c>
      <c r="H102">
        <v>46.680810999999999</v>
      </c>
    </row>
    <row r="103" spans="1:8">
      <c r="A103" s="59">
        <v>102</v>
      </c>
      <c r="B103" s="318" t="s">
        <v>742</v>
      </c>
      <c r="C103" s="318" t="s">
        <v>743</v>
      </c>
      <c r="D103" s="318" t="s">
        <v>744</v>
      </c>
      <c r="E103" s="318" t="s">
        <v>12</v>
      </c>
      <c r="F103" s="318" t="s">
        <v>2462</v>
      </c>
      <c r="G103" s="318">
        <v>24.644987</v>
      </c>
      <c r="H103">
        <v>46.733654000000001</v>
      </c>
    </row>
    <row r="104" spans="1:8">
      <c r="A104" s="59">
        <v>103</v>
      </c>
      <c r="B104" s="318" t="s">
        <v>742</v>
      </c>
      <c r="C104" s="318" t="s">
        <v>745</v>
      </c>
      <c r="D104" s="318" t="s">
        <v>746</v>
      </c>
      <c r="E104" s="318" t="s">
        <v>12</v>
      </c>
      <c r="F104" s="318" t="s">
        <v>2463</v>
      </c>
      <c r="G104" s="318">
        <v>24.645278999999999</v>
      </c>
      <c r="H104">
        <v>46.733207999999998</v>
      </c>
    </row>
    <row r="105" spans="1:8">
      <c r="A105" s="59">
        <v>104</v>
      </c>
      <c r="B105" s="318" t="s">
        <v>742</v>
      </c>
      <c r="C105" s="318" t="s">
        <v>747</v>
      </c>
      <c r="D105" s="318" t="s">
        <v>748</v>
      </c>
      <c r="E105" s="318" t="s">
        <v>12</v>
      </c>
      <c r="F105" s="318" t="s">
        <v>2464</v>
      </c>
      <c r="G105" s="318">
        <v>24.645443</v>
      </c>
      <c r="H105">
        <v>46.733417000000003</v>
      </c>
    </row>
    <row r="106" spans="1:8">
      <c r="A106" s="59">
        <v>105</v>
      </c>
      <c r="B106" s="318" t="s">
        <v>742</v>
      </c>
      <c r="C106" s="318" t="s">
        <v>749</v>
      </c>
      <c r="D106" s="318" t="s">
        <v>750</v>
      </c>
      <c r="E106" s="318" t="s">
        <v>12</v>
      </c>
      <c r="F106" s="318" t="s">
        <v>2465</v>
      </c>
      <c r="G106" s="318">
        <v>24.645216999999999</v>
      </c>
      <c r="H106">
        <v>46.733227999999997</v>
      </c>
    </row>
    <row r="107" spans="1:8">
      <c r="A107" s="59">
        <v>106</v>
      </c>
      <c r="B107" s="318" t="s">
        <v>742</v>
      </c>
      <c r="C107" s="318" t="s">
        <v>2240</v>
      </c>
      <c r="D107" s="318" t="s">
        <v>752</v>
      </c>
      <c r="E107" s="318" t="s">
        <v>12</v>
      </c>
      <c r="F107" s="318" t="s">
        <v>2466</v>
      </c>
      <c r="G107" s="318">
        <v>24.645166</v>
      </c>
      <c r="H107">
        <v>46.733275999999996</v>
      </c>
    </row>
    <row r="108" spans="1:8">
      <c r="A108" s="59">
        <v>107</v>
      </c>
      <c r="B108" s="318" t="s">
        <v>742</v>
      </c>
      <c r="C108" s="318" t="s">
        <v>753</v>
      </c>
      <c r="D108" s="318" t="s">
        <v>754</v>
      </c>
      <c r="E108" s="318" t="s">
        <v>12</v>
      </c>
      <c r="F108" s="318" t="s">
        <v>2467</v>
      </c>
      <c r="G108" s="318">
        <v>24.645077000000001</v>
      </c>
      <c r="H108">
        <v>46.733294999999998</v>
      </c>
    </row>
    <row r="109" spans="1:8">
      <c r="A109" s="59">
        <v>108</v>
      </c>
      <c r="B109" s="318" t="s">
        <v>742</v>
      </c>
      <c r="C109" s="318" t="s">
        <v>755</v>
      </c>
      <c r="D109" s="318" t="s">
        <v>756</v>
      </c>
      <c r="E109" s="318" t="s">
        <v>12</v>
      </c>
      <c r="F109" s="318" t="s">
        <v>2468</v>
      </c>
      <c r="G109" s="318">
        <v>24.645444999999999</v>
      </c>
      <c r="H109">
        <v>46.733142000000001</v>
      </c>
    </row>
    <row r="110" spans="1:8">
      <c r="A110" s="59">
        <v>109</v>
      </c>
      <c r="B110" s="318" t="s">
        <v>742</v>
      </c>
      <c r="C110" s="318" t="s">
        <v>757</v>
      </c>
      <c r="D110" s="318" t="s">
        <v>758</v>
      </c>
      <c r="E110" s="318" t="s">
        <v>12</v>
      </c>
      <c r="F110" s="318" t="s">
        <v>2469</v>
      </c>
      <c r="G110" s="318">
        <v>24.644859</v>
      </c>
      <c r="H110">
        <v>46.733432000000001</v>
      </c>
    </row>
    <row r="111" spans="1:8">
      <c r="A111" s="59">
        <v>110</v>
      </c>
      <c r="B111" s="318" t="s">
        <v>742</v>
      </c>
      <c r="C111" s="318" t="s">
        <v>759</v>
      </c>
      <c r="D111" s="318" t="s">
        <v>152</v>
      </c>
      <c r="E111" s="318" t="s">
        <v>83</v>
      </c>
      <c r="F111" s="318" t="s">
        <v>2470</v>
      </c>
      <c r="G111" s="318">
        <v>24.649564000000002</v>
      </c>
      <c r="H111">
        <v>46.734175</v>
      </c>
    </row>
    <row r="112" spans="1:8">
      <c r="A112" s="59">
        <v>111</v>
      </c>
      <c r="B112" s="318" t="s">
        <v>742</v>
      </c>
      <c r="C112" s="318" t="s">
        <v>760</v>
      </c>
      <c r="D112" s="318" t="s">
        <v>761</v>
      </c>
      <c r="E112" s="318" t="s">
        <v>83</v>
      </c>
      <c r="F112" s="318" t="s">
        <v>2471</v>
      </c>
      <c r="G112" s="318">
        <v>24.649225999999999</v>
      </c>
      <c r="H112">
        <v>46.734000000000002</v>
      </c>
    </row>
    <row r="113" spans="1:8">
      <c r="A113" s="59">
        <v>112</v>
      </c>
      <c r="B113" s="318" t="s">
        <v>742</v>
      </c>
      <c r="C113" s="318" t="s">
        <v>2241</v>
      </c>
      <c r="D113" s="318" t="s">
        <v>763</v>
      </c>
      <c r="E113" s="318" t="s">
        <v>83</v>
      </c>
      <c r="F113" s="318" t="s">
        <v>2472</v>
      </c>
      <c r="G113" s="318">
        <v>24.649562</v>
      </c>
      <c r="H113">
        <v>46.734000000000002</v>
      </c>
    </row>
    <row r="114" spans="1:8">
      <c r="A114" s="59">
        <v>113</v>
      </c>
      <c r="B114" s="318" t="s">
        <v>742</v>
      </c>
      <c r="C114" s="318" t="s">
        <v>764</v>
      </c>
      <c r="D114" s="318" t="s">
        <v>153</v>
      </c>
      <c r="E114" s="318" t="s">
        <v>83</v>
      </c>
      <c r="F114" s="318" t="s">
        <v>2473</v>
      </c>
      <c r="G114" s="318">
        <v>24.649197999999998</v>
      </c>
      <c r="H114">
        <v>46.733961999999998</v>
      </c>
    </row>
    <row r="115" spans="1:8">
      <c r="A115" s="59">
        <v>114</v>
      </c>
      <c r="B115" s="318" t="s">
        <v>742</v>
      </c>
      <c r="C115" s="318" t="s">
        <v>765</v>
      </c>
      <c r="D115" s="318" t="s">
        <v>154</v>
      </c>
      <c r="E115" s="318" t="s">
        <v>83</v>
      </c>
      <c r="F115" s="318" t="s">
        <v>2474</v>
      </c>
      <c r="G115" s="318">
        <v>24.649891</v>
      </c>
      <c r="H115">
        <v>46.734046999999997</v>
      </c>
    </row>
    <row r="116" spans="1:8">
      <c r="A116" s="59">
        <v>115</v>
      </c>
      <c r="B116" s="318" t="s">
        <v>742</v>
      </c>
      <c r="C116" s="318" t="s">
        <v>2242</v>
      </c>
      <c r="D116" s="318" t="s">
        <v>767</v>
      </c>
      <c r="E116" s="318" t="s">
        <v>30</v>
      </c>
      <c r="F116" s="318" t="s">
        <v>2475</v>
      </c>
      <c r="G116" s="318">
        <v>24.647281</v>
      </c>
      <c r="H116">
        <v>46.731439999999999</v>
      </c>
    </row>
    <row r="117" spans="1:8">
      <c r="A117" s="59">
        <v>116</v>
      </c>
      <c r="B117" s="318" t="s">
        <v>742</v>
      </c>
      <c r="C117" s="318" t="s">
        <v>768</v>
      </c>
      <c r="D117" s="318" t="s">
        <v>769</v>
      </c>
      <c r="E117" s="318" t="s">
        <v>30</v>
      </c>
      <c r="F117" s="318" t="s">
        <v>2476</v>
      </c>
      <c r="G117" s="318">
        <v>24.647327000000001</v>
      </c>
      <c r="H117">
        <v>46.731575999999997</v>
      </c>
    </row>
    <row r="118" spans="1:8">
      <c r="A118" s="59">
        <v>117</v>
      </c>
      <c r="B118" s="318" t="s">
        <v>742</v>
      </c>
      <c r="C118" s="325" t="s">
        <v>2243</v>
      </c>
      <c r="D118" s="318" t="s">
        <v>771</v>
      </c>
      <c r="E118" s="318" t="s">
        <v>30</v>
      </c>
      <c r="F118" s="318" t="s">
        <v>2477</v>
      </c>
      <c r="G118" s="318">
        <v>24.647380999999999</v>
      </c>
      <c r="H118">
        <v>46.731465</v>
      </c>
    </row>
    <row r="119" spans="1:8">
      <c r="A119" s="59">
        <v>118</v>
      </c>
      <c r="B119" s="318" t="s">
        <v>742</v>
      </c>
      <c r="C119" s="325" t="s">
        <v>2244</v>
      </c>
      <c r="D119" s="318" t="s">
        <v>773</v>
      </c>
      <c r="E119" s="318" t="s">
        <v>30</v>
      </c>
      <c r="F119" s="318" t="s">
        <v>2478</v>
      </c>
      <c r="G119" s="318">
        <v>24.647462999999998</v>
      </c>
      <c r="H119">
        <v>46.731372</v>
      </c>
    </row>
    <row r="120" spans="1:8">
      <c r="A120" s="59">
        <v>119</v>
      </c>
      <c r="B120" s="318" t="s">
        <v>742</v>
      </c>
      <c r="C120" s="318" t="s">
        <v>2245</v>
      </c>
      <c r="D120" s="318" t="s">
        <v>775</v>
      </c>
      <c r="E120" s="318" t="s">
        <v>30</v>
      </c>
      <c r="F120" s="318" t="s">
        <v>2479</v>
      </c>
      <c r="G120" s="318">
        <v>24.647317000000001</v>
      </c>
      <c r="H120">
        <v>46.731347999999997</v>
      </c>
    </row>
    <row r="121" spans="1:8">
      <c r="A121" s="59">
        <v>120</v>
      </c>
      <c r="B121" s="318" t="s">
        <v>742</v>
      </c>
      <c r="C121" s="318" t="s">
        <v>2246</v>
      </c>
      <c r="D121" s="318" t="s">
        <v>777</v>
      </c>
      <c r="E121" s="318" t="s">
        <v>30</v>
      </c>
      <c r="F121" s="318" t="s">
        <v>2480</v>
      </c>
      <c r="G121" s="318">
        <v>24.647251000000001</v>
      </c>
      <c r="H121">
        <v>46.731546999999999</v>
      </c>
    </row>
    <row r="122" spans="1:8">
      <c r="A122" s="59">
        <v>121</v>
      </c>
      <c r="B122" s="318" t="s">
        <v>778</v>
      </c>
      <c r="C122" s="318" t="s">
        <v>2247</v>
      </c>
      <c r="D122" s="318" t="s">
        <v>158</v>
      </c>
      <c r="E122" s="318" t="s">
        <v>1659</v>
      </c>
      <c r="F122" s="326" t="s">
        <v>2481</v>
      </c>
      <c r="G122" s="326">
        <v>24.640485999999999</v>
      </c>
      <c r="H122">
        <v>46.759850999999998</v>
      </c>
    </row>
    <row r="123" spans="1:8">
      <c r="A123" s="59">
        <v>122</v>
      </c>
      <c r="B123" s="318" t="s">
        <v>778</v>
      </c>
      <c r="C123" s="318" t="s">
        <v>2248</v>
      </c>
      <c r="D123" s="318" t="s">
        <v>781</v>
      </c>
      <c r="E123" s="318" t="s">
        <v>1659</v>
      </c>
      <c r="F123" s="326" t="s">
        <v>2482</v>
      </c>
      <c r="G123" s="326">
        <v>24.640788000000001</v>
      </c>
      <c r="H123">
        <v>46.760263999999999</v>
      </c>
    </row>
    <row r="124" spans="1:8">
      <c r="A124" s="59">
        <v>123</v>
      </c>
      <c r="B124" s="318" t="s">
        <v>778</v>
      </c>
      <c r="C124" s="318" t="s">
        <v>2249</v>
      </c>
      <c r="D124" s="318" t="s">
        <v>783</v>
      </c>
      <c r="E124" s="318" t="s">
        <v>1659</v>
      </c>
      <c r="F124" s="326" t="s">
        <v>2483</v>
      </c>
      <c r="G124" s="326">
        <v>24.640668000000002</v>
      </c>
      <c r="H124">
        <v>46.760351</v>
      </c>
    </row>
    <row r="125" spans="1:8">
      <c r="A125" s="59">
        <v>124</v>
      </c>
      <c r="B125" s="318" t="s">
        <v>778</v>
      </c>
      <c r="C125" s="318" t="s">
        <v>2250</v>
      </c>
      <c r="D125" s="318" t="s">
        <v>785</v>
      </c>
      <c r="E125" s="318" t="s">
        <v>1659</v>
      </c>
      <c r="F125" s="326" t="s">
        <v>2484</v>
      </c>
      <c r="G125" s="326">
        <v>24.640491999999998</v>
      </c>
      <c r="H125">
        <v>46.760128000000002</v>
      </c>
    </row>
    <row r="126" spans="1:8">
      <c r="A126" s="59">
        <v>125</v>
      </c>
      <c r="B126" s="318" t="s">
        <v>778</v>
      </c>
      <c r="C126" s="318" t="s">
        <v>2251</v>
      </c>
      <c r="D126" s="318" t="s">
        <v>787</v>
      </c>
      <c r="E126" s="318" t="s">
        <v>1659</v>
      </c>
      <c r="F126" s="326" t="s">
        <v>2485</v>
      </c>
      <c r="G126" s="326">
        <v>24.640727999999999</v>
      </c>
      <c r="H126">
        <v>46.759771999999998</v>
      </c>
    </row>
    <row r="127" spans="1:8">
      <c r="A127" s="59">
        <v>126</v>
      </c>
      <c r="B127" s="318" t="s">
        <v>778</v>
      </c>
      <c r="C127" s="318" t="s">
        <v>2252</v>
      </c>
      <c r="D127" s="318" t="s">
        <v>789</v>
      </c>
      <c r="E127" s="318" t="s">
        <v>1659</v>
      </c>
      <c r="F127" s="326" t="s">
        <v>2486</v>
      </c>
      <c r="G127" s="326">
        <v>24.640523999999999</v>
      </c>
      <c r="H127">
        <v>46.760139000000002</v>
      </c>
    </row>
    <row r="128" spans="1:8">
      <c r="A128" s="59">
        <v>127</v>
      </c>
      <c r="B128" s="318" t="s">
        <v>778</v>
      </c>
      <c r="C128" s="318" t="s">
        <v>2253</v>
      </c>
      <c r="D128" s="318" t="s">
        <v>791</v>
      </c>
      <c r="E128" s="318" t="s">
        <v>1659</v>
      </c>
      <c r="F128" s="326" t="s">
        <v>2487</v>
      </c>
      <c r="G128" s="326">
        <v>24.640476</v>
      </c>
      <c r="H128">
        <v>46.759711000000003</v>
      </c>
    </row>
    <row r="129" spans="1:8">
      <c r="A129" s="59">
        <v>128</v>
      </c>
      <c r="B129" s="318" t="s">
        <v>778</v>
      </c>
      <c r="C129" s="318" t="s">
        <v>2254</v>
      </c>
      <c r="D129" s="318" t="s">
        <v>793</v>
      </c>
      <c r="E129" s="318" t="s">
        <v>1659</v>
      </c>
      <c r="F129" s="326" t="s">
        <v>2488</v>
      </c>
      <c r="G129" s="326">
        <v>24.640578999999999</v>
      </c>
      <c r="H129">
        <v>46.760379999999998</v>
      </c>
    </row>
    <row r="130" spans="1:8">
      <c r="A130" s="59">
        <v>129</v>
      </c>
      <c r="B130" s="318" t="s">
        <v>778</v>
      </c>
      <c r="C130" s="318" t="s">
        <v>2255</v>
      </c>
      <c r="D130" s="318" t="s">
        <v>795</v>
      </c>
      <c r="E130" s="318" t="s">
        <v>1659</v>
      </c>
      <c r="F130" s="326" t="s">
        <v>2483</v>
      </c>
      <c r="G130" s="326">
        <v>24.640668000000002</v>
      </c>
      <c r="H130">
        <v>46.760351</v>
      </c>
    </row>
    <row r="131" spans="1:8">
      <c r="A131" s="59">
        <v>130</v>
      </c>
      <c r="B131" s="318" t="s">
        <v>778</v>
      </c>
      <c r="C131" s="318" t="s">
        <v>2256</v>
      </c>
      <c r="D131" s="318" t="s">
        <v>797</v>
      </c>
      <c r="E131" s="318" t="s">
        <v>1659</v>
      </c>
      <c r="F131" s="326" t="s">
        <v>2489</v>
      </c>
      <c r="G131" s="326">
        <v>24.641007999999999</v>
      </c>
      <c r="H131">
        <v>46.762177000000001</v>
      </c>
    </row>
    <row r="132" spans="1:8">
      <c r="A132" s="59">
        <v>131</v>
      </c>
      <c r="B132" s="318" t="s">
        <v>778</v>
      </c>
      <c r="C132" s="318" t="s">
        <v>2257</v>
      </c>
      <c r="D132" s="318" t="s">
        <v>799</v>
      </c>
      <c r="E132" s="318" t="s">
        <v>1659</v>
      </c>
      <c r="F132" s="326" t="s">
        <v>2490</v>
      </c>
      <c r="G132" s="326">
        <v>24.641521000000001</v>
      </c>
      <c r="H132">
        <v>46.762464000000001</v>
      </c>
    </row>
    <row r="133" spans="1:8">
      <c r="A133" s="59">
        <v>132</v>
      </c>
      <c r="B133" s="318" t="s">
        <v>778</v>
      </c>
      <c r="C133" s="318" t="s">
        <v>2258</v>
      </c>
      <c r="D133" s="318" t="s">
        <v>801</v>
      </c>
      <c r="E133" s="318" t="s">
        <v>1659</v>
      </c>
      <c r="F133" s="326" t="s">
        <v>2491</v>
      </c>
      <c r="G133" s="326">
        <v>24.641193000000001</v>
      </c>
      <c r="H133">
        <v>46.762422999999998</v>
      </c>
    </row>
    <row r="134" spans="1:8">
      <c r="A134" s="59">
        <v>133</v>
      </c>
      <c r="B134" s="318" t="s">
        <v>778</v>
      </c>
      <c r="C134" s="318" t="s">
        <v>2259</v>
      </c>
      <c r="D134" s="318" t="s">
        <v>803</v>
      </c>
      <c r="E134" s="318" t="s">
        <v>1659</v>
      </c>
      <c r="F134" s="326" t="s">
        <v>2484</v>
      </c>
      <c r="G134" s="326">
        <v>24.640491999999998</v>
      </c>
      <c r="H134">
        <v>46.760128000000002</v>
      </c>
    </row>
    <row r="135" spans="1:8">
      <c r="A135" s="59">
        <v>134</v>
      </c>
      <c r="B135" s="318" t="s">
        <v>778</v>
      </c>
      <c r="C135" s="318" t="s">
        <v>2260</v>
      </c>
      <c r="D135" s="318" t="s">
        <v>805</v>
      </c>
      <c r="E135" s="318" t="s">
        <v>1659</v>
      </c>
      <c r="F135" s="326" t="s">
        <v>2492</v>
      </c>
      <c r="G135" s="326">
        <v>24.640595000000001</v>
      </c>
      <c r="H135">
        <v>46.760334999999998</v>
      </c>
    </row>
    <row r="136" spans="1:8">
      <c r="A136" s="59">
        <v>135</v>
      </c>
      <c r="B136" s="318" t="s">
        <v>778</v>
      </c>
      <c r="C136" s="318" t="s">
        <v>2261</v>
      </c>
      <c r="D136" s="318" t="s">
        <v>807</v>
      </c>
      <c r="E136" s="318" t="s">
        <v>1659</v>
      </c>
      <c r="F136" s="326" t="s">
        <v>2493</v>
      </c>
      <c r="G136" s="326">
        <v>24.641342999999999</v>
      </c>
      <c r="H136">
        <v>46.761890000000001</v>
      </c>
    </row>
    <row r="137" spans="1:8">
      <c r="A137" s="59">
        <v>136</v>
      </c>
      <c r="B137" s="318" t="s">
        <v>778</v>
      </c>
      <c r="C137" s="318" t="s">
        <v>2262</v>
      </c>
      <c r="D137" s="318" t="s">
        <v>809</v>
      </c>
      <c r="E137" s="318" t="s">
        <v>1659</v>
      </c>
      <c r="F137" s="326" t="s">
        <v>2494</v>
      </c>
      <c r="G137" s="326">
        <v>24.641248000000001</v>
      </c>
      <c r="H137">
        <v>46.762613999999999</v>
      </c>
    </row>
    <row r="138" spans="1:8">
      <c r="A138" s="59">
        <v>137</v>
      </c>
      <c r="B138" s="318" t="s">
        <v>778</v>
      </c>
      <c r="C138" s="318" t="s">
        <v>2263</v>
      </c>
      <c r="D138" s="318" t="s">
        <v>811</v>
      </c>
      <c r="E138" s="318" t="s">
        <v>1659</v>
      </c>
      <c r="F138" s="326" t="s">
        <v>2495</v>
      </c>
      <c r="G138" s="326">
        <v>24.640844000000001</v>
      </c>
      <c r="H138">
        <v>46.761789</v>
      </c>
    </row>
    <row r="139" spans="1:8">
      <c r="A139" s="59">
        <v>138</v>
      </c>
      <c r="B139" s="318" t="s">
        <v>812</v>
      </c>
      <c r="C139" s="318" t="s">
        <v>2264</v>
      </c>
      <c r="D139" s="318" t="s">
        <v>141</v>
      </c>
      <c r="E139" s="318" t="s">
        <v>19</v>
      </c>
      <c r="F139" s="321" t="s">
        <v>2496</v>
      </c>
      <c r="G139" s="321">
        <v>24.688216000000001</v>
      </c>
      <c r="H139">
        <v>46.754268000000003</v>
      </c>
    </row>
    <row r="140" spans="1:8">
      <c r="A140" s="59">
        <v>139</v>
      </c>
      <c r="B140" s="318" t="s">
        <v>812</v>
      </c>
      <c r="C140" s="318" t="s">
        <v>2265</v>
      </c>
      <c r="D140" s="318" t="s">
        <v>815</v>
      </c>
      <c r="E140" s="318" t="s">
        <v>19</v>
      </c>
      <c r="F140" s="318" t="s">
        <v>2497</v>
      </c>
      <c r="G140" s="318">
        <v>24.688027000000002</v>
      </c>
      <c r="H140">
        <v>46.753723999999998</v>
      </c>
    </row>
    <row r="141" spans="1:8">
      <c r="A141" s="59">
        <v>140</v>
      </c>
      <c r="B141" s="318" t="s">
        <v>812</v>
      </c>
      <c r="C141" s="318" t="s">
        <v>2266</v>
      </c>
      <c r="D141" s="318" t="s">
        <v>817</v>
      </c>
      <c r="E141" s="318" t="s">
        <v>19</v>
      </c>
      <c r="F141" s="318" t="s">
        <v>2498</v>
      </c>
      <c r="G141" s="318">
        <v>24.688628999999999</v>
      </c>
      <c r="H141">
        <v>46.754840000000002</v>
      </c>
    </row>
    <row r="142" spans="1:8">
      <c r="A142" s="59">
        <v>141</v>
      </c>
      <c r="B142" s="318" t="s">
        <v>812</v>
      </c>
      <c r="C142" s="318" t="s">
        <v>2267</v>
      </c>
      <c r="D142" s="318" t="s">
        <v>819</v>
      </c>
      <c r="E142" s="318" t="s">
        <v>19</v>
      </c>
      <c r="F142" s="318" t="s">
        <v>2499</v>
      </c>
      <c r="G142" s="318">
        <v>24.688534000000001</v>
      </c>
      <c r="H142">
        <v>46.754384000000002</v>
      </c>
    </row>
    <row r="143" spans="1:8">
      <c r="A143" s="59">
        <v>142</v>
      </c>
      <c r="B143" s="318" t="s">
        <v>812</v>
      </c>
      <c r="C143" s="318" t="s">
        <v>2268</v>
      </c>
      <c r="D143" s="318" t="s">
        <v>821</v>
      </c>
      <c r="E143" s="318" t="s">
        <v>19</v>
      </c>
      <c r="F143" s="327" t="s">
        <v>2500</v>
      </c>
      <c r="G143" s="327">
        <v>24.68834</v>
      </c>
      <c r="H143">
        <v>46.754306999999997</v>
      </c>
    </row>
    <row r="144" spans="1:8">
      <c r="A144" s="59">
        <v>143</v>
      </c>
      <c r="B144" s="318" t="s">
        <v>812</v>
      </c>
      <c r="C144" s="318" t="s">
        <v>2269</v>
      </c>
      <c r="D144" s="318" t="s">
        <v>823</v>
      </c>
      <c r="E144" s="318" t="s">
        <v>19</v>
      </c>
      <c r="F144" s="318" t="s">
        <v>2501</v>
      </c>
      <c r="G144" s="318">
        <v>24.689920999999998</v>
      </c>
      <c r="H144">
        <v>46.758780000000002</v>
      </c>
    </row>
    <row r="145" spans="1:8">
      <c r="A145" s="59">
        <v>144</v>
      </c>
      <c r="B145" s="318" t="s">
        <v>812</v>
      </c>
      <c r="C145" s="318" t="s">
        <v>2270</v>
      </c>
      <c r="D145" s="318" t="s">
        <v>825</v>
      </c>
      <c r="E145" s="318" t="s">
        <v>19</v>
      </c>
      <c r="F145" s="318" t="s">
        <v>2500</v>
      </c>
      <c r="G145" s="318">
        <v>24.68834</v>
      </c>
      <c r="H145">
        <v>46.754306999999997</v>
      </c>
    </row>
    <row r="146" spans="1:8">
      <c r="A146" s="59">
        <v>145</v>
      </c>
      <c r="B146" s="318" t="s">
        <v>812</v>
      </c>
      <c r="C146" s="318" t="s">
        <v>2271</v>
      </c>
      <c r="D146" s="318" t="s">
        <v>827</v>
      </c>
      <c r="E146" s="318" t="s">
        <v>19</v>
      </c>
      <c r="F146" s="318" t="s">
        <v>2502</v>
      </c>
      <c r="G146" s="318">
        <v>24.688371</v>
      </c>
      <c r="H146">
        <v>46.754837000000002</v>
      </c>
    </row>
    <row r="147" spans="1:8">
      <c r="A147" s="59">
        <v>146</v>
      </c>
      <c r="B147" s="318" t="s">
        <v>812</v>
      </c>
      <c r="C147" s="318" t="s">
        <v>2272</v>
      </c>
      <c r="D147" s="318" t="s">
        <v>829</v>
      </c>
      <c r="E147" s="318" t="s">
        <v>19</v>
      </c>
      <c r="F147" s="318" t="s">
        <v>2503</v>
      </c>
      <c r="G147" s="318">
        <v>24.688253</v>
      </c>
      <c r="H147">
        <v>46.753698999999997</v>
      </c>
    </row>
    <row r="148" spans="1:8">
      <c r="A148" s="59">
        <v>147</v>
      </c>
      <c r="B148" s="318" t="s">
        <v>812</v>
      </c>
      <c r="C148" s="318" t="s">
        <v>2273</v>
      </c>
      <c r="D148" s="318" t="s">
        <v>831</v>
      </c>
      <c r="E148" s="318" t="s">
        <v>19</v>
      </c>
      <c r="F148" s="318" t="s">
        <v>2504</v>
      </c>
      <c r="G148" s="318">
        <v>24.686696000000001</v>
      </c>
      <c r="H148">
        <v>46.749848</v>
      </c>
    </row>
    <row r="149" spans="1:8">
      <c r="A149" s="59">
        <v>148</v>
      </c>
      <c r="B149" s="318" t="s">
        <v>265</v>
      </c>
      <c r="C149" s="318" t="s">
        <v>2274</v>
      </c>
      <c r="D149" s="318" t="s">
        <v>165</v>
      </c>
      <c r="E149" s="318" t="s">
        <v>23</v>
      </c>
      <c r="F149" s="318" t="s">
        <v>2505</v>
      </c>
      <c r="G149" s="318">
        <v>24.590330000000002</v>
      </c>
      <c r="H149">
        <v>46.672733999999998</v>
      </c>
    </row>
    <row r="150" spans="1:8">
      <c r="A150" s="59">
        <v>149</v>
      </c>
      <c r="B150" s="318" t="s">
        <v>265</v>
      </c>
      <c r="C150" s="318" t="s">
        <v>2275</v>
      </c>
      <c r="D150" s="318" t="s">
        <v>834</v>
      </c>
      <c r="E150" s="318" t="s">
        <v>23</v>
      </c>
      <c r="F150" s="318" t="s">
        <v>2506</v>
      </c>
      <c r="G150" s="318">
        <v>24.590434999999999</v>
      </c>
      <c r="H150">
        <v>46.672665000000002</v>
      </c>
    </row>
    <row r="151" spans="1:8">
      <c r="A151" s="59">
        <v>150</v>
      </c>
      <c r="B151" s="318" t="s">
        <v>265</v>
      </c>
      <c r="C151" s="318" t="s">
        <v>2276</v>
      </c>
      <c r="D151" s="318" t="s">
        <v>836</v>
      </c>
      <c r="E151" s="318" t="s">
        <v>23</v>
      </c>
      <c r="F151" s="318" t="s">
        <v>2507</v>
      </c>
      <c r="G151" s="318">
        <v>24.590883000000002</v>
      </c>
      <c r="H151">
        <v>46.673102999999998</v>
      </c>
    </row>
    <row r="152" spans="1:8">
      <c r="A152" s="59">
        <v>151</v>
      </c>
      <c r="B152" s="318" t="s">
        <v>265</v>
      </c>
      <c r="C152" s="318" t="s">
        <v>2277</v>
      </c>
      <c r="D152" s="318" t="s">
        <v>838</v>
      </c>
      <c r="E152" s="318" t="s">
        <v>23</v>
      </c>
      <c r="F152" s="318" t="s">
        <v>2505</v>
      </c>
      <c r="G152" s="318">
        <v>24.590330000000002</v>
      </c>
      <c r="H152">
        <v>46.672733999999998</v>
      </c>
    </row>
    <row r="153" spans="1:8">
      <c r="A153" s="59">
        <v>152</v>
      </c>
      <c r="B153" s="318" t="s">
        <v>265</v>
      </c>
      <c r="C153" s="318" t="s">
        <v>2278</v>
      </c>
      <c r="D153" s="318" t="s">
        <v>840</v>
      </c>
      <c r="E153" s="318" t="s">
        <v>23</v>
      </c>
      <c r="F153" s="318" t="s">
        <v>2508</v>
      </c>
      <c r="G153" s="318">
        <v>24.590305000000001</v>
      </c>
      <c r="H153">
        <v>46.672459000000003</v>
      </c>
    </row>
    <row r="154" spans="1:8">
      <c r="A154" s="59">
        <v>153</v>
      </c>
      <c r="B154" s="318" t="s">
        <v>841</v>
      </c>
      <c r="C154" s="318" t="s">
        <v>2279</v>
      </c>
      <c r="D154" s="318" t="s">
        <v>843</v>
      </c>
      <c r="E154" s="318" t="s">
        <v>1660</v>
      </c>
      <c r="F154" s="318" t="s">
        <v>2509</v>
      </c>
      <c r="G154" s="318">
        <v>24.650815999999999</v>
      </c>
      <c r="H154">
        <v>46.695410000000003</v>
      </c>
    </row>
    <row r="155" spans="1:8">
      <c r="A155" s="59">
        <v>154</v>
      </c>
      <c r="B155" s="318" t="s">
        <v>841</v>
      </c>
      <c r="C155" s="318" t="s">
        <v>2280</v>
      </c>
      <c r="D155" s="318" t="s">
        <v>845</v>
      </c>
      <c r="E155" s="318" t="s">
        <v>1660</v>
      </c>
      <c r="F155" s="318" t="s">
        <v>2510</v>
      </c>
      <c r="G155" s="318">
        <v>24.650676000000001</v>
      </c>
      <c r="H155">
        <v>46.695628999999997</v>
      </c>
    </row>
    <row r="156" spans="1:8">
      <c r="A156" s="59">
        <v>155</v>
      </c>
      <c r="B156" s="318" t="s">
        <v>841</v>
      </c>
      <c r="C156" s="318" t="s">
        <v>2281</v>
      </c>
      <c r="D156" s="318" t="s">
        <v>847</v>
      </c>
      <c r="E156" s="318" t="s">
        <v>1660</v>
      </c>
      <c r="F156" s="318" t="s">
        <v>2511</v>
      </c>
      <c r="G156" s="318">
        <v>24.650879</v>
      </c>
      <c r="H156">
        <v>46.695602999999998</v>
      </c>
    </row>
    <row r="157" spans="1:8">
      <c r="A157" s="59">
        <v>156</v>
      </c>
      <c r="B157" s="318" t="s">
        <v>841</v>
      </c>
      <c r="C157" s="318" t="s">
        <v>2282</v>
      </c>
      <c r="D157" s="318" t="s">
        <v>849</v>
      </c>
      <c r="E157" s="318" t="s">
        <v>1660</v>
      </c>
      <c r="F157" s="318" t="s">
        <v>2511</v>
      </c>
      <c r="G157" s="318">
        <v>24.650879</v>
      </c>
      <c r="H157">
        <v>46.695602999999998</v>
      </c>
    </row>
    <row r="158" spans="1:8">
      <c r="A158" s="59">
        <v>157</v>
      </c>
      <c r="B158" s="318" t="s">
        <v>841</v>
      </c>
      <c r="C158" s="318" t="s">
        <v>2283</v>
      </c>
      <c r="D158" s="318" t="s">
        <v>851</v>
      </c>
      <c r="E158" s="318" t="s">
        <v>1660</v>
      </c>
      <c r="F158" s="318" t="s">
        <v>2511</v>
      </c>
      <c r="G158" s="318">
        <v>24.650879</v>
      </c>
      <c r="H158">
        <v>46.695602999999998</v>
      </c>
    </row>
    <row r="159" spans="1:8">
      <c r="A159" s="59">
        <v>158</v>
      </c>
      <c r="B159" s="318" t="s">
        <v>841</v>
      </c>
      <c r="C159" s="318" t="s">
        <v>2284</v>
      </c>
      <c r="D159" s="318" t="s">
        <v>175</v>
      </c>
      <c r="E159" s="318" t="s">
        <v>54</v>
      </c>
      <c r="F159" s="321" t="s">
        <v>2512</v>
      </c>
      <c r="G159" s="321">
        <v>24.647596</v>
      </c>
      <c r="H159">
        <v>46.688828000000001</v>
      </c>
    </row>
    <row r="160" spans="1:8">
      <c r="A160" s="59">
        <v>159</v>
      </c>
      <c r="B160" s="318" t="s">
        <v>841</v>
      </c>
      <c r="C160" s="318" t="s">
        <v>2285</v>
      </c>
      <c r="D160" s="318" t="s">
        <v>854</v>
      </c>
      <c r="E160" s="318" t="s">
        <v>54</v>
      </c>
      <c r="F160" s="321" t="s">
        <v>2513</v>
      </c>
      <c r="G160" s="321">
        <v>24.647753999999999</v>
      </c>
      <c r="H160">
        <v>46.688620999999998</v>
      </c>
    </row>
    <row r="161" spans="1:8">
      <c r="A161" s="59">
        <v>160</v>
      </c>
      <c r="B161" s="318" t="s">
        <v>841</v>
      </c>
      <c r="C161" s="318" t="s">
        <v>2286</v>
      </c>
      <c r="D161" s="318" t="s">
        <v>856</v>
      </c>
      <c r="E161" s="318" t="s">
        <v>54</v>
      </c>
      <c r="F161" s="321" t="s">
        <v>2514</v>
      </c>
      <c r="G161" s="321">
        <v>24.647807</v>
      </c>
      <c r="H161">
        <v>46.688879999999997</v>
      </c>
    </row>
    <row r="162" spans="1:8">
      <c r="A162" s="59">
        <v>161</v>
      </c>
      <c r="B162" s="318" t="s">
        <v>841</v>
      </c>
      <c r="C162" s="318" t="s">
        <v>2287</v>
      </c>
      <c r="D162" s="318" t="s">
        <v>858</v>
      </c>
      <c r="E162" s="318" t="s">
        <v>54</v>
      </c>
      <c r="F162" s="321" t="s">
        <v>2513</v>
      </c>
      <c r="G162" s="321">
        <v>24.647753999999999</v>
      </c>
      <c r="H162">
        <v>46.688620999999998</v>
      </c>
    </row>
    <row r="163" spans="1:8">
      <c r="A163" s="59">
        <v>162</v>
      </c>
      <c r="B163" s="318" t="s">
        <v>841</v>
      </c>
      <c r="C163" s="318" t="s">
        <v>2288</v>
      </c>
      <c r="D163" s="318" t="s">
        <v>860</v>
      </c>
      <c r="E163" s="318" t="s">
        <v>54</v>
      </c>
      <c r="F163" s="321" t="s">
        <v>2513</v>
      </c>
      <c r="G163" s="321">
        <v>24.647753999999999</v>
      </c>
      <c r="H163">
        <v>46.688620999999998</v>
      </c>
    </row>
    <row r="164" spans="1:8">
      <c r="A164" s="59">
        <v>163</v>
      </c>
      <c r="B164" s="318" t="s">
        <v>841</v>
      </c>
      <c r="C164" s="318" t="s">
        <v>2289</v>
      </c>
      <c r="D164" s="318" t="s">
        <v>862</v>
      </c>
      <c r="E164" s="318" t="s">
        <v>54</v>
      </c>
      <c r="F164" s="321" t="s">
        <v>2513</v>
      </c>
      <c r="G164" s="321">
        <v>24.647753999999999</v>
      </c>
      <c r="H164">
        <v>46.688620999999998</v>
      </c>
    </row>
    <row r="165" spans="1:8">
      <c r="A165" s="59">
        <v>164</v>
      </c>
      <c r="B165" s="318" t="s">
        <v>841</v>
      </c>
      <c r="C165" s="318" t="s">
        <v>2290</v>
      </c>
      <c r="D165" s="318" t="s">
        <v>864</v>
      </c>
      <c r="E165" s="318" t="s">
        <v>54</v>
      </c>
      <c r="F165" s="321" t="s">
        <v>2512</v>
      </c>
      <c r="G165" s="321">
        <v>24.647596</v>
      </c>
      <c r="H165">
        <v>46.688828000000001</v>
      </c>
    </row>
    <row r="166" spans="1:8">
      <c r="A166" s="59">
        <v>165</v>
      </c>
      <c r="B166" s="318" t="s">
        <v>841</v>
      </c>
      <c r="C166" s="318" t="s">
        <v>2291</v>
      </c>
      <c r="D166" s="318" t="s">
        <v>866</v>
      </c>
      <c r="E166" s="318" t="s">
        <v>55</v>
      </c>
      <c r="F166" s="318" t="s">
        <v>2515</v>
      </c>
      <c r="G166" s="318">
        <v>24.650424999999998</v>
      </c>
      <c r="H166">
        <v>46.690379</v>
      </c>
    </row>
    <row r="167" spans="1:8">
      <c r="A167" s="59">
        <v>166</v>
      </c>
      <c r="B167" s="318" t="s">
        <v>841</v>
      </c>
      <c r="C167" s="318" t="s">
        <v>2292</v>
      </c>
      <c r="D167" s="318" t="s">
        <v>868</v>
      </c>
      <c r="E167" s="318" t="s">
        <v>55</v>
      </c>
      <c r="F167" s="318" t="s">
        <v>2516</v>
      </c>
      <c r="G167" s="318">
        <v>24.650120999999999</v>
      </c>
      <c r="H167">
        <v>46.690224000000001</v>
      </c>
    </row>
    <row r="168" spans="1:8">
      <c r="A168" s="59">
        <v>167</v>
      </c>
      <c r="B168" s="318" t="s">
        <v>841</v>
      </c>
      <c r="C168" s="318" t="s">
        <v>2359</v>
      </c>
      <c r="D168" s="318" t="s">
        <v>870</v>
      </c>
      <c r="E168" s="318" t="s">
        <v>55</v>
      </c>
      <c r="F168" s="318" t="s">
        <v>2517</v>
      </c>
      <c r="G168" s="318">
        <v>24.650286999999999</v>
      </c>
      <c r="H168">
        <v>46.690120999999998</v>
      </c>
    </row>
    <row r="169" spans="1:8">
      <c r="A169" s="59">
        <v>168</v>
      </c>
      <c r="B169" s="318" t="s">
        <v>841</v>
      </c>
      <c r="C169" s="318" t="s">
        <v>2293</v>
      </c>
      <c r="D169" s="318" t="s">
        <v>872</v>
      </c>
      <c r="E169" s="318" t="s">
        <v>55</v>
      </c>
      <c r="F169" s="318" t="s">
        <v>2518</v>
      </c>
      <c r="G169" s="318">
        <v>24.650577999999999</v>
      </c>
      <c r="H169">
        <v>46.690227</v>
      </c>
    </row>
    <row r="170" spans="1:8">
      <c r="A170" s="59">
        <v>169</v>
      </c>
      <c r="B170" s="318" t="s">
        <v>841</v>
      </c>
      <c r="C170" s="318" t="s">
        <v>2294</v>
      </c>
      <c r="D170" s="318" t="s">
        <v>874</v>
      </c>
      <c r="E170" s="318" t="s">
        <v>55</v>
      </c>
      <c r="F170" s="318" t="s">
        <v>2515</v>
      </c>
      <c r="G170" s="318">
        <v>24.650424999999998</v>
      </c>
      <c r="H170">
        <v>46.690379</v>
      </c>
    </row>
    <row r="171" spans="1:8">
      <c r="A171" s="59">
        <v>170</v>
      </c>
      <c r="B171" s="318" t="s">
        <v>841</v>
      </c>
      <c r="C171" s="318" t="s">
        <v>2295</v>
      </c>
      <c r="D171" s="318" t="s">
        <v>876</v>
      </c>
      <c r="E171" s="318" t="s">
        <v>55</v>
      </c>
      <c r="F171" s="318" t="s">
        <v>2515</v>
      </c>
      <c r="G171" s="318">
        <v>24.650424999999998</v>
      </c>
      <c r="H171">
        <v>46.690379</v>
      </c>
    </row>
    <row r="172" spans="1:8">
      <c r="A172" s="59">
        <v>171</v>
      </c>
      <c r="B172" s="318" t="s">
        <v>841</v>
      </c>
      <c r="C172" s="318" t="s">
        <v>2296</v>
      </c>
      <c r="D172" s="318" t="s">
        <v>878</v>
      </c>
      <c r="E172" s="318" t="s">
        <v>60</v>
      </c>
      <c r="F172" s="318" t="s">
        <v>2519</v>
      </c>
      <c r="G172" s="318">
        <v>24.650569000000001</v>
      </c>
      <c r="H172">
        <v>46.693840999999999</v>
      </c>
    </row>
    <row r="173" spans="1:8">
      <c r="A173" s="59">
        <v>172</v>
      </c>
      <c r="B173" s="318" t="s">
        <v>841</v>
      </c>
      <c r="C173" s="318" t="s">
        <v>2297</v>
      </c>
      <c r="D173" s="318" t="s">
        <v>880</v>
      </c>
      <c r="E173" s="318" t="s">
        <v>60</v>
      </c>
      <c r="F173" s="318" t="s">
        <v>2519</v>
      </c>
      <c r="G173" s="318">
        <v>24.650569000000001</v>
      </c>
      <c r="H173">
        <v>46.693840999999999</v>
      </c>
    </row>
    <row r="174" spans="1:8">
      <c r="A174" s="59">
        <v>173</v>
      </c>
      <c r="B174" s="318" t="s">
        <v>841</v>
      </c>
      <c r="C174" s="318" t="s">
        <v>2298</v>
      </c>
      <c r="D174" s="318" t="s">
        <v>882</v>
      </c>
      <c r="E174" s="318" t="s">
        <v>60</v>
      </c>
      <c r="F174" s="318" t="s">
        <v>2520</v>
      </c>
      <c r="G174" s="318">
        <v>24.650579</v>
      </c>
      <c r="H174">
        <v>46.693542000000001</v>
      </c>
    </row>
    <row r="175" spans="1:8">
      <c r="A175" s="59">
        <v>174</v>
      </c>
      <c r="B175" s="318" t="s">
        <v>841</v>
      </c>
      <c r="C175" s="318" t="s">
        <v>2299</v>
      </c>
      <c r="D175" s="318" t="s">
        <v>884</v>
      </c>
      <c r="E175" s="318" t="s">
        <v>60</v>
      </c>
      <c r="F175" s="318" t="s">
        <v>2521</v>
      </c>
      <c r="G175" s="318">
        <v>24.650725000000001</v>
      </c>
      <c r="H175">
        <v>46.693179999999998</v>
      </c>
    </row>
    <row r="176" spans="1:8">
      <c r="A176" s="59">
        <v>175</v>
      </c>
      <c r="B176" s="318" t="s">
        <v>841</v>
      </c>
      <c r="C176" s="318" t="s">
        <v>2300</v>
      </c>
      <c r="D176" s="318" t="s">
        <v>886</v>
      </c>
      <c r="E176" s="318" t="s">
        <v>60</v>
      </c>
      <c r="F176" s="318" t="s">
        <v>2522</v>
      </c>
      <c r="G176" s="318">
        <v>24.650493000000001</v>
      </c>
      <c r="H176">
        <v>46.693145999999999</v>
      </c>
    </row>
    <row r="177" spans="1:8">
      <c r="A177" s="59">
        <v>176</v>
      </c>
      <c r="B177" s="318" t="s">
        <v>841</v>
      </c>
      <c r="C177" s="318" t="s">
        <v>2301</v>
      </c>
      <c r="D177" s="318" t="s">
        <v>888</v>
      </c>
      <c r="E177" s="318" t="s">
        <v>60</v>
      </c>
      <c r="F177" s="318" t="s">
        <v>2522</v>
      </c>
      <c r="G177" s="318">
        <v>24.650493000000001</v>
      </c>
      <c r="H177">
        <v>46.693145999999999</v>
      </c>
    </row>
    <row r="178" spans="1:8">
      <c r="A178" s="59">
        <v>177</v>
      </c>
      <c r="B178" s="318" t="s">
        <v>841</v>
      </c>
      <c r="C178" s="318" t="s">
        <v>2302</v>
      </c>
      <c r="D178" s="318" t="s">
        <v>890</v>
      </c>
      <c r="E178" s="318" t="s">
        <v>1661</v>
      </c>
      <c r="F178" s="318" t="s">
        <v>2523</v>
      </c>
      <c r="G178" s="318">
        <v>24.646740000000001</v>
      </c>
      <c r="H178">
        <v>46.693226000000003</v>
      </c>
    </row>
    <row r="179" spans="1:8">
      <c r="A179" s="59">
        <v>178</v>
      </c>
      <c r="B179" s="318" t="s">
        <v>841</v>
      </c>
      <c r="C179" s="318" t="s">
        <v>2360</v>
      </c>
      <c r="D179" s="318" t="s">
        <v>892</v>
      </c>
      <c r="E179" s="318" t="s">
        <v>1661</v>
      </c>
      <c r="F179" s="321" t="s">
        <v>2524</v>
      </c>
      <c r="G179" s="321">
        <v>24.646906000000001</v>
      </c>
      <c r="H179">
        <v>46.693272999999998</v>
      </c>
    </row>
    <row r="180" spans="1:8">
      <c r="A180" s="59">
        <v>179</v>
      </c>
      <c r="B180" s="318" t="s">
        <v>841</v>
      </c>
      <c r="C180" s="318" t="s">
        <v>2303</v>
      </c>
      <c r="D180" s="318" t="s">
        <v>894</v>
      </c>
      <c r="E180" s="318" t="s">
        <v>1661</v>
      </c>
      <c r="F180" s="321" t="s">
        <v>2525</v>
      </c>
      <c r="G180" s="321">
        <v>24.646975999999999</v>
      </c>
      <c r="H180">
        <v>46.693300000000001</v>
      </c>
    </row>
    <row r="181" spans="1:8">
      <c r="A181" s="59">
        <v>180</v>
      </c>
      <c r="B181" s="318" t="s">
        <v>841</v>
      </c>
      <c r="C181" s="318" t="s">
        <v>2304</v>
      </c>
      <c r="D181" s="318" t="s">
        <v>896</v>
      </c>
      <c r="E181" s="318" t="s">
        <v>1661</v>
      </c>
      <c r="F181" s="321" t="s">
        <v>2523</v>
      </c>
      <c r="G181" s="321">
        <v>24.646740000000001</v>
      </c>
      <c r="H181">
        <v>46.693226000000003</v>
      </c>
    </row>
    <row r="182" spans="1:8">
      <c r="A182" s="59">
        <v>181</v>
      </c>
      <c r="B182" s="318" t="s">
        <v>841</v>
      </c>
      <c r="C182" s="318" t="s">
        <v>2305</v>
      </c>
      <c r="D182" s="318" t="s">
        <v>898</v>
      </c>
      <c r="E182" s="318" t="s">
        <v>1661</v>
      </c>
      <c r="F182" s="321" t="s">
        <v>2523</v>
      </c>
      <c r="G182" s="321">
        <v>24.646740000000001</v>
      </c>
      <c r="H182">
        <v>46.693226000000003</v>
      </c>
    </row>
    <row r="183" spans="1:8">
      <c r="A183" s="59">
        <v>182</v>
      </c>
      <c r="B183" s="318" t="s">
        <v>841</v>
      </c>
      <c r="C183" s="318" t="s">
        <v>2306</v>
      </c>
      <c r="D183" s="318" t="s">
        <v>900</v>
      </c>
      <c r="E183" s="318" t="s">
        <v>1661</v>
      </c>
      <c r="F183" s="321" t="s">
        <v>2523</v>
      </c>
      <c r="G183" s="321">
        <v>24.646740000000001</v>
      </c>
      <c r="H183">
        <v>46.693226000000003</v>
      </c>
    </row>
    <row r="184" spans="1:8">
      <c r="A184" s="59">
        <v>183</v>
      </c>
      <c r="B184" s="318" t="s">
        <v>85</v>
      </c>
      <c r="C184" s="318" t="s">
        <v>901</v>
      </c>
      <c r="D184" s="318" t="s">
        <v>148</v>
      </c>
      <c r="E184" s="318" t="s">
        <v>52</v>
      </c>
      <c r="F184" s="321" t="s">
        <v>2526</v>
      </c>
      <c r="G184" s="321">
        <v>24.610648999999999</v>
      </c>
      <c r="H184">
        <v>46.728614999999998</v>
      </c>
    </row>
    <row r="185" spans="1:8">
      <c r="A185" s="59">
        <v>184</v>
      </c>
      <c r="B185" s="318" t="s">
        <v>85</v>
      </c>
      <c r="C185" s="318" t="s">
        <v>902</v>
      </c>
      <c r="D185" s="318" t="s">
        <v>903</v>
      </c>
      <c r="E185" s="318" t="s">
        <v>52</v>
      </c>
      <c r="F185" s="321" t="s">
        <v>2526</v>
      </c>
      <c r="G185" s="321">
        <v>24.610648999999999</v>
      </c>
      <c r="H185">
        <v>46.728614999999998</v>
      </c>
    </row>
    <row r="186" spans="1:8">
      <c r="A186" s="59">
        <v>185</v>
      </c>
      <c r="B186" s="318" t="s">
        <v>85</v>
      </c>
      <c r="C186" s="318" t="s">
        <v>2307</v>
      </c>
      <c r="D186" s="318" t="s">
        <v>905</v>
      </c>
      <c r="E186" s="318" t="s">
        <v>52</v>
      </c>
      <c r="F186" s="321" t="s">
        <v>2527</v>
      </c>
      <c r="G186" s="321">
        <v>24.610548999999999</v>
      </c>
      <c r="H186">
        <v>46.728333999999997</v>
      </c>
    </row>
    <row r="187" spans="1:8">
      <c r="A187" s="59">
        <v>186</v>
      </c>
      <c r="B187" s="318" t="s">
        <v>85</v>
      </c>
      <c r="C187" s="318" t="s">
        <v>906</v>
      </c>
      <c r="D187" s="318" t="s">
        <v>907</v>
      </c>
      <c r="E187" s="318" t="s">
        <v>52</v>
      </c>
      <c r="F187" s="321" t="s">
        <v>2528</v>
      </c>
      <c r="G187" s="321">
        <v>24.610658999999998</v>
      </c>
      <c r="H187">
        <v>46.728763999999998</v>
      </c>
    </row>
    <row r="188" spans="1:8">
      <c r="A188" s="59">
        <v>187</v>
      </c>
      <c r="B188" s="318" t="s">
        <v>85</v>
      </c>
      <c r="C188" s="318" t="s">
        <v>908</v>
      </c>
      <c r="D188" s="318" t="s">
        <v>909</v>
      </c>
      <c r="E188" s="318" t="s">
        <v>52</v>
      </c>
      <c r="F188" s="321" t="s">
        <v>2528</v>
      </c>
      <c r="G188" s="321">
        <v>24.610658999999998</v>
      </c>
      <c r="H188">
        <v>46.728763999999998</v>
      </c>
    </row>
    <row r="189" spans="1:8">
      <c r="A189" s="59">
        <v>188</v>
      </c>
      <c r="B189" s="318" t="s">
        <v>85</v>
      </c>
      <c r="C189" s="318" t="s">
        <v>910</v>
      </c>
      <c r="D189" s="318" t="s">
        <v>911</v>
      </c>
      <c r="E189" s="318" t="s">
        <v>21</v>
      </c>
      <c r="F189" s="321" t="s">
        <v>2529</v>
      </c>
      <c r="G189" s="321">
        <v>24.611201999999999</v>
      </c>
      <c r="H189">
        <v>46.728022000000003</v>
      </c>
    </row>
    <row r="190" spans="1:8">
      <c r="A190" s="59">
        <v>189</v>
      </c>
      <c r="B190" s="318" t="s">
        <v>85</v>
      </c>
      <c r="C190" s="318" t="s">
        <v>912</v>
      </c>
      <c r="D190" s="318" t="s">
        <v>913</v>
      </c>
      <c r="E190" s="318" t="s">
        <v>21</v>
      </c>
      <c r="F190" s="318" t="s">
        <v>2529</v>
      </c>
      <c r="G190" s="318">
        <v>24.611201999999999</v>
      </c>
      <c r="H190">
        <v>46.728022000000003</v>
      </c>
    </row>
    <row r="191" spans="1:8">
      <c r="A191" s="59">
        <v>190</v>
      </c>
      <c r="B191" s="318" t="s">
        <v>85</v>
      </c>
      <c r="C191" s="318" t="s">
        <v>2308</v>
      </c>
      <c r="D191" s="318" t="s">
        <v>915</v>
      </c>
      <c r="E191" s="318" t="s">
        <v>21</v>
      </c>
      <c r="F191" s="318" t="s">
        <v>2527</v>
      </c>
      <c r="G191" s="318">
        <v>24.610548999999999</v>
      </c>
      <c r="H191">
        <v>46.728333999999997</v>
      </c>
    </row>
    <row r="192" spans="1:8">
      <c r="A192" s="59">
        <v>191</v>
      </c>
      <c r="B192" s="318" t="s">
        <v>85</v>
      </c>
      <c r="C192" s="318" t="s">
        <v>916</v>
      </c>
      <c r="D192" s="318" t="s">
        <v>917</v>
      </c>
      <c r="E192" s="318" t="s">
        <v>21</v>
      </c>
      <c r="F192" s="318" t="s">
        <v>2530</v>
      </c>
      <c r="G192" s="318">
        <v>24.610433</v>
      </c>
      <c r="H192">
        <v>46.728256999999999</v>
      </c>
    </row>
    <row r="193" spans="1:8">
      <c r="A193" s="59">
        <v>192</v>
      </c>
      <c r="B193" s="318" t="s">
        <v>85</v>
      </c>
      <c r="C193" s="318" t="s">
        <v>918</v>
      </c>
      <c r="D193" s="318" t="s">
        <v>919</v>
      </c>
      <c r="E193" s="318" t="s">
        <v>21</v>
      </c>
      <c r="F193" s="318" t="s">
        <v>2529</v>
      </c>
      <c r="G193" s="318">
        <v>24.611201999999999</v>
      </c>
      <c r="H193">
        <v>46.728022000000003</v>
      </c>
    </row>
    <row r="194" spans="1:8">
      <c r="A194" s="59">
        <v>193</v>
      </c>
      <c r="B194" s="318" t="s">
        <v>85</v>
      </c>
      <c r="C194" s="318" t="s">
        <v>920</v>
      </c>
      <c r="D194" s="318" t="s">
        <v>921</v>
      </c>
      <c r="E194" s="318" t="s">
        <v>21</v>
      </c>
      <c r="F194" s="318" t="s">
        <v>2529</v>
      </c>
      <c r="G194" s="318">
        <v>24.611201999999999</v>
      </c>
      <c r="H194">
        <v>46.728022000000003</v>
      </c>
    </row>
    <row r="195" spans="1:8">
      <c r="A195" s="59">
        <v>194</v>
      </c>
      <c r="B195" s="318" t="s">
        <v>85</v>
      </c>
      <c r="C195" s="318" t="s">
        <v>922</v>
      </c>
      <c r="D195" s="318" t="s">
        <v>923</v>
      </c>
      <c r="E195" s="318" t="s">
        <v>21</v>
      </c>
      <c r="F195" s="318" t="s">
        <v>2526</v>
      </c>
      <c r="G195" s="318">
        <v>24.610648999999999</v>
      </c>
      <c r="H195">
        <v>46.728614999999998</v>
      </c>
    </row>
    <row r="196" spans="1:8">
      <c r="A196" s="59">
        <v>195</v>
      </c>
      <c r="B196" s="318" t="s">
        <v>924</v>
      </c>
      <c r="C196" s="318" t="s">
        <v>925</v>
      </c>
      <c r="D196" s="318" t="s">
        <v>926</v>
      </c>
      <c r="E196" s="318" t="s">
        <v>1662</v>
      </c>
      <c r="F196" s="318" t="s">
        <v>2531</v>
      </c>
      <c r="G196" s="318">
        <v>24.667632999999999</v>
      </c>
      <c r="H196">
        <v>46.793337000000001</v>
      </c>
    </row>
    <row r="197" spans="1:8">
      <c r="A197" s="59">
        <v>196</v>
      </c>
      <c r="B197" s="318" t="s">
        <v>924</v>
      </c>
      <c r="C197" s="318" t="s">
        <v>927</v>
      </c>
      <c r="D197" s="318" t="s">
        <v>145</v>
      </c>
      <c r="E197" s="318" t="s">
        <v>1662</v>
      </c>
      <c r="F197" s="318" t="s">
        <v>2532</v>
      </c>
      <c r="G197" s="318">
        <v>24.667532999999999</v>
      </c>
      <c r="H197">
        <v>46.796880000000002</v>
      </c>
    </row>
    <row r="198" spans="1:8">
      <c r="A198" s="59">
        <v>197</v>
      </c>
      <c r="B198" s="318" t="s">
        <v>924</v>
      </c>
      <c r="C198" s="318" t="s">
        <v>928</v>
      </c>
      <c r="D198" s="318" t="s">
        <v>929</v>
      </c>
      <c r="E198" s="318" t="s">
        <v>1662</v>
      </c>
      <c r="F198" s="318" t="s">
        <v>2533</v>
      </c>
      <c r="G198" s="318">
        <v>24.667265</v>
      </c>
      <c r="H198">
        <v>46.793028</v>
      </c>
    </row>
    <row r="199" spans="1:8">
      <c r="A199" s="59">
        <v>198</v>
      </c>
      <c r="B199" s="318" t="s">
        <v>924</v>
      </c>
      <c r="C199" s="318" t="s">
        <v>930</v>
      </c>
      <c r="D199" s="318" t="s">
        <v>931</v>
      </c>
      <c r="E199" s="318" t="s">
        <v>1662</v>
      </c>
      <c r="F199" s="318" t="s">
        <v>2532</v>
      </c>
      <c r="G199" s="318">
        <v>24.667532999999999</v>
      </c>
      <c r="H199">
        <v>46.796880000000002</v>
      </c>
    </row>
    <row r="200" spans="1:8">
      <c r="A200" s="59">
        <v>199</v>
      </c>
      <c r="B200" s="318" t="s">
        <v>924</v>
      </c>
      <c r="C200" s="318" t="s">
        <v>932</v>
      </c>
      <c r="D200" s="318" t="s">
        <v>933</v>
      </c>
      <c r="E200" s="318" t="s">
        <v>1662</v>
      </c>
      <c r="F200" s="318" t="s">
        <v>2532</v>
      </c>
      <c r="G200" s="318">
        <v>24.667532999999999</v>
      </c>
      <c r="H200">
        <v>46.796880000000002</v>
      </c>
    </row>
    <row r="201" spans="1:8">
      <c r="A201" s="59">
        <v>200</v>
      </c>
      <c r="B201" s="318" t="s">
        <v>924</v>
      </c>
      <c r="C201" s="318" t="s">
        <v>934</v>
      </c>
      <c r="D201" s="318" t="s">
        <v>935</v>
      </c>
      <c r="E201" s="318" t="s">
        <v>1663</v>
      </c>
      <c r="F201" s="318" t="s">
        <v>2534</v>
      </c>
      <c r="G201" s="318">
        <v>24.667536999999999</v>
      </c>
      <c r="H201">
        <v>46.793379000000002</v>
      </c>
    </row>
    <row r="202" spans="1:8">
      <c r="A202" s="59">
        <v>201</v>
      </c>
      <c r="B202" s="318" t="s">
        <v>924</v>
      </c>
      <c r="C202" s="318" t="s">
        <v>936</v>
      </c>
      <c r="D202" s="318" t="s">
        <v>937</v>
      </c>
      <c r="E202" s="318" t="s">
        <v>1663</v>
      </c>
      <c r="F202" s="318" t="s">
        <v>2535</v>
      </c>
      <c r="G202" s="318">
        <v>24.667278</v>
      </c>
      <c r="H202">
        <v>46.796522000000003</v>
      </c>
    </row>
    <row r="203" spans="1:8">
      <c r="A203" s="59">
        <v>202</v>
      </c>
      <c r="B203" s="318" t="s">
        <v>924</v>
      </c>
      <c r="C203" s="318" t="s">
        <v>938</v>
      </c>
      <c r="D203" s="318" t="s">
        <v>939</v>
      </c>
      <c r="E203" s="318" t="s">
        <v>1663</v>
      </c>
      <c r="F203" s="318" t="s">
        <v>2535</v>
      </c>
      <c r="G203" s="318">
        <v>24.667278</v>
      </c>
      <c r="H203">
        <v>46.796522000000003</v>
      </c>
    </row>
    <row r="204" spans="1:8">
      <c r="A204" s="59">
        <v>203</v>
      </c>
      <c r="B204" s="318" t="s">
        <v>924</v>
      </c>
      <c r="C204" s="318" t="s">
        <v>940</v>
      </c>
      <c r="D204" s="318" t="s">
        <v>941</v>
      </c>
      <c r="E204" s="318" t="s">
        <v>1663</v>
      </c>
      <c r="F204" s="318" t="s">
        <v>2535</v>
      </c>
      <c r="G204" s="318">
        <v>24.667278</v>
      </c>
      <c r="H204">
        <v>46.796522000000003</v>
      </c>
    </row>
    <row r="205" spans="1:8">
      <c r="A205" s="59">
        <v>204</v>
      </c>
      <c r="B205" s="318" t="s">
        <v>291</v>
      </c>
      <c r="C205" s="318" t="s">
        <v>942</v>
      </c>
      <c r="D205" s="322" t="s">
        <v>130</v>
      </c>
      <c r="E205" s="322" t="s">
        <v>9</v>
      </c>
      <c r="F205" s="322" t="s">
        <v>2536</v>
      </c>
      <c r="G205" s="322">
        <v>24.759848000000002</v>
      </c>
      <c r="H205">
        <v>46.692202999999999</v>
      </c>
    </row>
    <row r="206" spans="1:8">
      <c r="A206" s="59">
        <v>205</v>
      </c>
      <c r="B206" s="318" t="s">
        <v>291</v>
      </c>
      <c r="C206" s="318" t="s">
        <v>943</v>
      </c>
      <c r="D206" s="322" t="s">
        <v>127</v>
      </c>
      <c r="E206" s="322" t="s">
        <v>9</v>
      </c>
      <c r="F206" s="322" t="s">
        <v>2537</v>
      </c>
      <c r="G206" s="322">
        <v>24.762225000000001</v>
      </c>
      <c r="H206">
        <v>46.697203000000002</v>
      </c>
    </row>
    <row r="207" spans="1:8">
      <c r="A207" s="59">
        <v>206</v>
      </c>
      <c r="B207" s="318" t="s">
        <v>291</v>
      </c>
      <c r="C207" s="318" t="s">
        <v>944</v>
      </c>
      <c r="D207" s="322" t="s">
        <v>128</v>
      </c>
      <c r="E207" s="322" t="s">
        <v>9</v>
      </c>
      <c r="F207" s="322" t="s">
        <v>2538</v>
      </c>
      <c r="G207" s="322">
        <v>24.760822000000001</v>
      </c>
      <c r="H207">
        <v>46.694383000000002</v>
      </c>
    </row>
    <row r="208" spans="1:8">
      <c r="A208" s="59">
        <v>207</v>
      </c>
      <c r="B208" s="318" t="s">
        <v>291</v>
      </c>
      <c r="C208" s="318" t="s">
        <v>945</v>
      </c>
      <c r="D208" s="322" t="s">
        <v>946</v>
      </c>
      <c r="E208" s="322" t="s">
        <v>9</v>
      </c>
      <c r="F208" s="322" t="s">
        <v>2539</v>
      </c>
      <c r="G208" s="322">
        <v>24.761091</v>
      </c>
      <c r="H208">
        <v>46.69509</v>
      </c>
    </row>
    <row r="209" spans="1:8">
      <c r="A209" s="59">
        <v>208</v>
      </c>
      <c r="B209" s="318" t="s">
        <v>291</v>
      </c>
      <c r="C209" s="318" t="s">
        <v>947</v>
      </c>
      <c r="D209" s="322" t="s">
        <v>948</v>
      </c>
      <c r="E209" s="322" t="s">
        <v>9</v>
      </c>
      <c r="F209" s="322" t="s">
        <v>2540</v>
      </c>
      <c r="G209" s="322">
        <v>24.760967999999998</v>
      </c>
      <c r="H209">
        <v>46.694279999999999</v>
      </c>
    </row>
    <row r="210" spans="1:8">
      <c r="A210" s="59">
        <v>209</v>
      </c>
      <c r="B210" s="318" t="s">
        <v>291</v>
      </c>
      <c r="C210" s="318" t="s">
        <v>949</v>
      </c>
      <c r="D210" s="322" t="s">
        <v>950</v>
      </c>
      <c r="E210" s="322" t="s">
        <v>9</v>
      </c>
      <c r="F210" s="328" t="s">
        <v>2541</v>
      </c>
      <c r="G210" s="328">
        <v>24.760943000000001</v>
      </c>
      <c r="H210">
        <v>46.694743000000003</v>
      </c>
    </row>
    <row r="211" spans="1:8">
      <c r="A211" s="59">
        <v>210</v>
      </c>
      <c r="B211" s="318" t="s">
        <v>291</v>
      </c>
      <c r="C211" s="318" t="s">
        <v>951</v>
      </c>
      <c r="D211" s="322" t="s">
        <v>952</v>
      </c>
      <c r="E211" s="322" t="s">
        <v>9</v>
      </c>
      <c r="F211" s="328" t="s">
        <v>2542</v>
      </c>
      <c r="G211" s="328">
        <v>24.761278000000001</v>
      </c>
      <c r="H211">
        <v>46.695050000000002</v>
      </c>
    </row>
    <row r="212" spans="1:8">
      <c r="A212" s="59">
        <v>211</v>
      </c>
      <c r="B212" s="318" t="s">
        <v>291</v>
      </c>
      <c r="C212" s="318" t="s">
        <v>953</v>
      </c>
      <c r="D212" s="322" t="s">
        <v>954</v>
      </c>
      <c r="E212" s="322" t="s">
        <v>9</v>
      </c>
      <c r="F212" s="328" t="s">
        <v>2543</v>
      </c>
      <c r="G212" s="328">
        <v>24.761156</v>
      </c>
      <c r="H212">
        <v>46.695124</v>
      </c>
    </row>
    <row r="213" spans="1:8">
      <c r="A213" s="59">
        <v>212</v>
      </c>
      <c r="B213" s="318" t="s">
        <v>291</v>
      </c>
      <c r="C213" s="318" t="s">
        <v>955</v>
      </c>
      <c r="D213" s="322" t="s">
        <v>956</v>
      </c>
      <c r="E213" s="322" t="s">
        <v>9</v>
      </c>
      <c r="F213" s="328" t="s">
        <v>2544</v>
      </c>
      <c r="G213" s="328">
        <v>24.760843999999999</v>
      </c>
      <c r="H213">
        <v>46.694128999999997</v>
      </c>
    </row>
    <row r="214" spans="1:8">
      <c r="A214" s="59">
        <v>213</v>
      </c>
      <c r="B214" s="318" t="s">
        <v>291</v>
      </c>
      <c r="C214" s="318" t="s">
        <v>957</v>
      </c>
      <c r="D214" s="322" t="s">
        <v>958</v>
      </c>
      <c r="E214" s="322" t="s">
        <v>9</v>
      </c>
      <c r="F214" s="328" t="s">
        <v>2545</v>
      </c>
      <c r="G214" s="328">
        <v>24.761324999999999</v>
      </c>
      <c r="H214">
        <v>46.695132000000001</v>
      </c>
    </row>
    <row r="215" spans="1:8">
      <c r="A215" s="59">
        <v>214</v>
      </c>
      <c r="B215" s="318" t="s">
        <v>86</v>
      </c>
      <c r="C215" s="318" t="s">
        <v>959</v>
      </c>
      <c r="D215" s="318" t="s">
        <v>960</v>
      </c>
      <c r="E215" s="318" t="s">
        <v>1664</v>
      </c>
      <c r="F215" s="321" t="s">
        <v>2546</v>
      </c>
      <c r="G215" s="321">
        <v>24.574898000000001</v>
      </c>
      <c r="H215">
        <v>46.696033999999997</v>
      </c>
    </row>
    <row r="216" spans="1:8">
      <c r="A216" s="59">
        <v>215</v>
      </c>
      <c r="B216" s="318" t="s">
        <v>86</v>
      </c>
      <c r="C216" s="318" t="s">
        <v>961</v>
      </c>
      <c r="D216" s="318" t="s">
        <v>166</v>
      </c>
      <c r="E216" s="318" t="s">
        <v>1664</v>
      </c>
      <c r="F216" s="321" t="s">
        <v>2547</v>
      </c>
      <c r="G216" s="321">
        <v>24.574956</v>
      </c>
      <c r="H216">
        <v>46.696081999999997</v>
      </c>
    </row>
    <row r="217" spans="1:8">
      <c r="A217" s="59">
        <v>216</v>
      </c>
      <c r="B217" s="318" t="s">
        <v>86</v>
      </c>
      <c r="C217" s="318" t="s">
        <v>962</v>
      </c>
      <c r="D217" s="318" t="s">
        <v>963</v>
      </c>
      <c r="E217" s="318" t="s">
        <v>1664</v>
      </c>
      <c r="F217" s="321" t="s">
        <v>2547</v>
      </c>
      <c r="G217" s="321">
        <v>24.574956</v>
      </c>
      <c r="H217">
        <v>46.696081999999997</v>
      </c>
    </row>
    <row r="218" spans="1:8">
      <c r="A218" s="59">
        <v>217</v>
      </c>
      <c r="B218" s="318" t="s">
        <v>86</v>
      </c>
      <c r="C218" s="318" t="s">
        <v>964</v>
      </c>
      <c r="D218" s="318" t="s">
        <v>965</v>
      </c>
      <c r="E218" s="318" t="s">
        <v>1664</v>
      </c>
      <c r="F218" s="321" t="s">
        <v>2547</v>
      </c>
      <c r="G218" s="321">
        <v>24.574956</v>
      </c>
      <c r="H218">
        <v>46.696081999999997</v>
      </c>
    </row>
    <row r="219" spans="1:8">
      <c r="A219" s="59">
        <v>218</v>
      </c>
      <c r="B219" s="318" t="s">
        <v>86</v>
      </c>
      <c r="C219" s="318" t="s">
        <v>966</v>
      </c>
      <c r="D219" s="318" t="s">
        <v>967</v>
      </c>
      <c r="E219" s="318" t="s">
        <v>1664</v>
      </c>
      <c r="F219" s="321" t="s">
        <v>2548</v>
      </c>
      <c r="G219" s="321">
        <v>24.575327000000001</v>
      </c>
      <c r="H219">
        <v>46.696168</v>
      </c>
    </row>
    <row r="220" spans="1:8">
      <c r="A220" s="59">
        <v>219</v>
      </c>
      <c r="B220" s="318" t="s">
        <v>86</v>
      </c>
      <c r="C220" s="318" t="s">
        <v>968</v>
      </c>
      <c r="D220" s="318" t="s">
        <v>969</v>
      </c>
      <c r="E220" s="318" t="s">
        <v>1665</v>
      </c>
      <c r="F220" s="321" t="s">
        <v>2549</v>
      </c>
      <c r="G220" s="321">
        <v>24.571878999999999</v>
      </c>
      <c r="H220">
        <v>46.692523000000001</v>
      </c>
    </row>
    <row r="221" spans="1:8">
      <c r="A221" s="59">
        <v>220</v>
      </c>
      <c r="B221" s="318" t="s">
        <v>86</v>
      </c>
      <c r="C221" s="318" t="s">
        <v>970</v>
      </c>
      <c r="D221" s="318" t="s">
        <v>971</v>
      </c>
      <c r="E221" s="318" t="s">
        <v>1665</v>
      </c>
      <c r="F221" s="321" t="s">
        <v>2550</v>
      </c>
      <c r="G221" s="321">
        <v>24.572188000000001</v>
      </c>
      <c r="H221">
        <v>46.692458000000002</v>
      </c>
    </row>
    <row r="222" spans="1:8">
      <c r="A222" s="59">
        <v>221</v>
      </c>
      <c r="B222" s="318" t="s">
        <v>86</v>
      </c>
      <c r="C222" s="318" t="s">
        <v>972</v>
      </c>
      <c r="D222" s="318" t="s">
        <v>973</v>
      </c>
      <c r="E222" s="318" t="s">
        <v>1665</v>
      </c>
      <c r="F222" s="321" t="s">
        <v>2551</v>
      </c>
      <c r="G222" s="321">
        <v>24.571767000000001</v>
      </c>
      <c r="H222">
        <v>46.692309999999999</v>
      </c>
    </row>
    <row r="223" spans="1:8">
      <c r="A223" s="59">
        <v>222</v>
      </c>
      <c r="B223" s="318" t="s">
        <v>86</v>
      </c>
      <c r="C223" s="318" t="s">
        <v>974</v>
      </c>
      <c r="D223" s="318" t="s">
        <v>975</v>
      </c>
      <c r="E223" s="318" t="s">
        <v>1665</v>
      </c>
      <c r="F223" s="321" t="s">
        <v>2550</v>
      </c>
      <c r="G223" s="321">
        <v>24.572188000000001</v>
      </c>
      <c r="H223">
        <v>46.692458000000002</v>
      </c>
    </row>
    <row r="224" spans="1:8">
      <c r="A224" s="59">
        <v>223</v>
      </c>
      <c r="B224" s="318" t="s">
        <v>87</v>
      </c>
      <c r="C224" s="318" t="s">
        <v>976</v>
      </c>
      <c r="D224" s="318" t="s">
        <v>977</v>
      </c>
      <c r="E224" s="318" t="s">
        <v>40</v>
      </c>
      <c r="F224" s="321" t="s">
        <v>2552</v>
      </c>
      <c r="G224" s="321">
        <v>24.556336999999999</v>
      </c>
      <c r="H224">
        <v>46.674550000000004</v>
      </c>
    </row>
    <row r="225" spans="1:8">
      <c r="A225" s="59">
        <v>224</v>
      </c>
      <c r="B225" s="318" t="s">
        <v>87</v>
      </c>
      <c r="C225" s="318" t="s">
        <v>978</v>
      </c>
      <c r="D225" s="318" t="s">
        <v>167</v>
      </c>
      <c r="E225" s="318" t="s">
        <v>40</v>
      </c>
      <c r="F225" s="321" t="s">
        <v>2553</v>
      </c>
      <c r="G225" s="321">
        <v>24.556737999999999</v>
      </c>
      <c r="H225">
        <v>46.674784000000002</v>
      </c>
    </row>
    <row r="226" spans="1:8">
      <c r="A226" s="59">
        <v>225</v>
      </c>
      <c r="B226" s="318" t="s">
        <v>87</v>
      </c>
      <c r="C226" s="318" t="s">
        <v>979</v>
      </c>
      <c r="D226" s="318" t="s">
        <v>980</v>
      </c>
      <c r="E226" s="318" t="s">
        <v>40</v>
      </c>
      <c r="F226" s="321" t="s">
        <v>2554</v>
      </c>
      <c r="G226" s="321">
        <v>24.556234</v>
      </c>
      <c r="H226">
        <v>46.674703999999998</v>
      </c>
    </row>
    <row r="227" spans="1:8">
      <c r="A227" s="59">
        <v>226</v>
      </c>
      <c r="B227" s="318" t="s">
        <v>87</v>
      </c>
      <c r="C227" s="318" t="s">
        <v>981</v>
      </c>
      <c r="D227" s="318" t="s">
        <v>982</v>
      </c>
      <c r="E227" s="318" t="s">
        <v>40</v>
      </c>
      <c r="F227" s="321" t="s">
        <v>2554</v>
      </c>
      <c r="G227" s="321">
        <v>24.556234</v>
      </c>
      <c r="H227">
        <v>46.674703999999998</v>
      </c>
    </row>
    <row r="228" spans="1:8">
      <c r="A228" s="59">
        <v>227</v>
      </c>
      <c r="B228" s="318" t="s">
        <v>87</v>
      </c>
      <c r="C228" s="318" t="s">
        <v>983</v>
      </c>
      <c r="D228" s="318" t="s">
        <v>168</v>
      </c>
      <c r="E228" s="318" t="s">
        <v>46</v>
      </c>
      <c r="F228" s="321" t="s">
        <v>2555</v>
      </c>
      <c r="G228" s="321">
        <v>24.551684000000002</v>
      </c>
      <c r="H228">
        <v>46.670437999999997</v>
      </c>
    </row>
    <row r="229" spans="1:8">
      <c r="A229" s="59">
        <v>228</v>
      </c>
      <c r="B229" s="318" t="s">
        <v>87</v>
      </c>
      <c r="C229" s="318" t="s">
        <v>984</v>
      </c>
      <c r="D229" s="318" t="s">
        <v>985</v>
      </c>
      <c r="E229" s="318" t="s">
        <v>46</v>
      </c>
      <c r="F229" s="321" t="s">
        <v>2556</v>
      </c>
      <c r="G229" s="321">
        <v>24.551244000000001</v>
      </c>
      <c r="H229">
        <v>46.670439999999999</v>
      </c>
    </row>
    <row r="230" spans="1:8">
      <c r="A230" s="59">
        <v>229</v>
      </c>
      <c r="B230" s="318" t="s">
        <v>87</v>
      </c>
      <c r="C230" s="318" t="s">
        <v>986</v>
      </c>
      <c r="D230" s="318" t="s">
        <v>987</v>
      </c>
      <c r="E230" s="318" t="s">
        <v>46</v>
      </c>
      <c r="F230" s="321" t="s">
        <v>2557</v>
      </c>
      <c r="G230" s="321">
        <v>24.551715999999999</v>
      </c>
      <c r="H230">
        <v>46.670566000000001</v>
      </c>
    </row>
    <row r="231" spans="1:8">
      <c r="A231" s="59">
        <v>230</v>
      </c>
      <c r="B231" s="318" t="s">
        <v>87</v>
      </c>
      <c r="C231" s="318" t="s">
        <v>988</v>
      </c>
      <c r="D231" s="318" t="s">
        <v>989</v>
      </c>
      <c r="E231" s="318" t="s">
        <v>46</v>
      </c>
      <c r="F231" s="321" t="s">
        <v>2555</v>
      </c>
      <c r="G231" s="321">
        <v>24.551684000000002</v>
      </c>
      <c r="H231">
        <v>46.670437999999997</v>
      </c>
    </row>
    <row r="232" spans="1:8">
      <c r="A232" s="59">
        <v>231</v>
      </c>
      <c r="B232" s="318" t="s">
        <v>88</v>
      </c>
      <c r="C232" s="318" t="s">
        <v>990</v>
      </c>
      <c r="D232" s="318" t="s">
        <v>169</v>
      </c>
      <c r="E232" s="318" t="s">
        <v>28</v>
      </c>
      <c r="F232" s="321" t="s">
        <v>2558</v>
      </c>
      <c r="G232" s="321">
        <v>24.536563999999998</v>
      </c>
      <c r="H232">
        <v>46.658366999999998</v>
      </c>
    </row>
    <row r="233" spans="1:8">
      <c r="A233" s="59">
        <v>232</v>
      </c>
      <c r="B233" s="318" t="s">
        <v>88</v>
      </c>
      <c r="C233" s="318" t="s">
        <v>991</v>
      </c>
      <c r="D233" s="318" t="s">
        <v>992</v>
      </c>
      <c r="E233" s="318" t="s">
        <v>28</v>
      </c>
      <c r="F233" s="321" t="s">
        <v>2558</v>
      </c>
      <c r="G233" s="321">
        <v>24.536563999999998</v>
      </c>
      <c r="H233">
        <v>46.658366999999998</v>
      </c>
    </row>
    <row r="234" spans="1:8">
      <c r="A234" s="59">
        <v>233</v>
      </c>
      <c r="B234" s="318" t="s">
        <v>88</v>
      </c>
      <c r="C234" s="318" t="s">
        <v>993</v>
      </c>
      <c r="D234" s="318" t="s">
        <v>994</v>
      </c>
      <c r="E234" s="318" t="s">
        <v>28</v>
      </c>
      <c r="F234" s="321" t="s">
        <v>2559</v>
      </c>
      <c r="G234" s="321">
        <v>24.537873000000001</v>
      </c>
      <c r="H234">
        <v>46.659013999999999</v>
      </c>
    </row>
    <row r="235" spans="1:8">
      <c r="A235" s="59">
        <v>234</v>
      </c>
      <c r="B235" s="318" t="s">
        <v>88</v>
      </c>
      <c r="C235" s="318" t="s">
        <v>995</v>
      </c>
      <c r="D235" s="318" t="s">
        <v>996</v>
      </c>
      <c r="E235" s="318" t="s">
        <v>28</v>
      </c>
      <c r="F235" s="321" t="s">
        <v>2559</v>
      </c>
      <c r="G235" s="321">
        <v>24.537873000000001</v>
      </c>
      <c r="H235">
        <v>46.659013999999999</v>
      </c>
    </row>
    <row r="236" spans="1:8">
      <c r="A236" s="59">
        <v>235</v>
      </c>
      <c r="B236" s="318" t="s">
        <v>88</v>
      </c>
      <c r="C236" s="318" t="s">
        <v>997</v>
      </c>
      <c r="D236" s="318" t="s">
        <v>998</v>
      </c>
      <c r="E236" s="318" t="s">
        <v>28</v>
      </c>
      <c r="F236" s="321" t="s">
        <v>2560</v>
      </c>
      <c r="G236" s="321">
        <v>24.537863000000002</v>
      </c>
      <c r="H236">
        <v>46.659187000000003</v>
      </c>
    </row>
    <row r="237" spans="1:8">
      <c r="A237" s="59">
        <v>236</v>
      </c>
      <c r="B237" s="318" t="s">
        <v>88</v>
      </c>
      <c r="C237" s="318" t="s">
        <v>2309</v>
      </c>
      <c r="D237" s="318" t="s">
        <v>1000</v>
      </c>
      <c r="E237" s="318" t="s">
        <v>28</v>
      </c>
      <c r="F237" s="321" t="s">
        <v>2561</v>
      </c>
      <c r="G237" s="321">
        <v>24.537417999999999</v>
      </c>
      <c r="H237">
        <v>46.658667000000001</v>
      </c>
    </row>
    <row r="238" spans="1:8">
      <c r="A238" s="59">
        <v>237</v>
      </c>
      <c r="B238" s="318" t="s">
        <v>88</v>
      </c>
      <c r="C238" s="318" t="s">
        <v>1001</v>
      </c>
      <c r="D238" s="318" t="s">
        <v>1002</v>
      </c>
      <c r="E238" s="318" t="s">
        <v>28</v>
      </c>
      <c r="F238" s="321" t="s">
        <v>2558</v>
      </c>
      <c r="G238" s="321">
        <v>24.536563999999998</v>
      </c>
      <c r="H238">
        <v>46.658366999999998</v>
      </c>
    </row>
    <row r="239" spans="1:8">
      <c r="A239" s="59">
        <v>238</v>
      </c>
      <c r="B239" s="318" t="s">
        <v>88</v>
      </c>
      <c r="C239" s="318" t="s">
        <v>1003</v>
      </c>
      <c r="D239" s="318" t="s">
        <v>1004</v>
      </c>
      <c r="E239" s="318" t="s">
        <v>28</v>
      </c>
      <c r="F239" s="321" t="s">
        <v>2559</v>
      </c>
      <c r="G239" s="321">
        <v>24.537873000000001</v>
      </c>
      <c r="H239">
        <v>46.659013999999999</v>
      </c>
    </row>
    <row r="240" spans="1:8">
      <c r="A240" s="59">
        <v>239</v>
      </c>
      <c r="B240" s="318" t="s">
        <v>305</v>
      </c>
      <c r="C240" s="318" t="s">
        <v>1005</v>
      </c>
      <c r="D240" s="322" t="s">
        <v>129</v>
      </c>
      <c r="E240" s="322" t="s">
        <v>105</v>
      </c>
      <c r="F240" s="328" t="s">
        <v>2562</v>
      </c>
      <c r="G240" s="328">
        <v>24.734334</v>
      </c>
      <c r="H240">
        <v>46.634667</v>
      </c>
    </row>
    <row r="241" spans="1:8">
      <c r="A241" s="59">
        <v>240</v>
      </c>
      <c r="B241" s="318" t="s">
        <v>305</v>
      </c>
      <c r="C241" s="318" t="s">
        <v>1006</v>
      </c>
      <c r="D241" s="322" t="s">
        <v>1007</v>
      </c>
      <c r="E241" s="322" t="s">
        <v>105</v>
      </c>
      <c r="F241" s="323" t="s">
        <v>2563</v>
      </c>
      <c r="G241" s="323">
        <v>24.736077999999999</v>
      </c>
      <c r="H241">
        <v>46.632795000000002</v>
      </c>
    </row>
    <row r="242" spans="1:8">
      <c r="A242" s="59">
        <v>241</v>
      </c>
      <c r="B242" s="318" t="s">
        <v>305</v>
      </c>
      <c r="C242" s="318" t="s">
        <v>1008</v>
      </c>
      <c r="D242" s="322" t="s">
        <v>1009</v>
      </c>
      <c r="E242" s="322" t="s">
        <v>105</v>
      </c>
      <c r="F242" s="323" t="s">
        <v>2564</v>
      </c>
      <c r="G242" s="323">
        <v>24.736059000000001</v>
      </c>
      <c r="H242">
        <v>46.632587999999998</v>
      </c>
    </row>
    <row r="243" spans="1:8">
      <c r="A243" s="59">
        <v>242</v>
      </c>
      <c r="B243" s="318" t="s">
        <v>305</v>
      </c>
      <c r="C243" s="318" t="s">
        <v>1010</v>
      </c>
      <c r="D243" s="322" t="s">
        <v>1011</v>
      </c>
      <c r="E243" s="322" t="s">
        <v>105</v>
      </c>
      <c r="F243" s="323" t="s">
        <v>2565</v>
      </c>
      <c r="G243" s="323">
        <v>24.734393000000001</v>
      </c>
      <c r="H243">
        <v>46.634768999999999</v>
      </c>
    </row>
    <row r="244" spans="1:8">
      <c r="A244" s="59">
        <v>243</v>
      </c>
      <c r="B244" s="318" t="s">
        <v>305</v>
      </c>
      <c r="C244" s="318" t="s">
        <v>1012</v>
      </c>
      <c r="D244" s="322" t="s">
        <v>1013</v>
      </c>
      <c r="E244" s="322" t="s">
        <v>105</v>
      </c>
      <c r="F244" s="328" t="s">
        <v>2566</v>
      </c>
      <c r="G244" s="328">
        <v>24.735375000000001</v>
      </c>
      <c r="H244">
        <v>46.633519</v>
      </c>
    </row>
    <row r="245" spans="1:8">
      <c r="A245" s="59">
        <v>244</v>
      </c>
      <c r="B245" s="318" t="s">
        <v>305</v>
      </c>
      <c r="C245" s="318" t="s">
        <v>1012</v>
      </c>
      <c r="D245" s="322" t="s">
        <v>1014</v>
      </c>
      <c r="E245" s="322" t="s">
        <v>105</v>
      </c>
      <c r="F245" s="328" t="s">
        <v>2566</v>
      </c>
      <c r="G245" s="328">
        <v>24.735375000000001</v>
      </c>
      <c r="H245">
        <v>46.633519</v>
      </c>
    </row>
    <row r="246" spans="1:8">
      <c r="A246" s="59">
        <v>245</v>
      </c>
      <c r="B246" s="318" t="s">
        <v>305</v>
      </c>
      <c r="C246" s="318" t="s">
        <v>1015</v>
      </c>
      <c r="D246" s="322" t="s">
        <v>1016</v>
      </c>
      <c r="E246" s="322" t="s">
        <v>105</v>
      </c>
      <c r="F246" s="323" t="s">
        <v>2567</v>
      </c>
      <c r="G246" s="323">
        <v>24.734542999999999</v>
      </c>
      <c r="H246">
        <v>46.634599999999999</v>
      </c>
    </row>
    <row r="247" spans="1:8">
      <c r="A247" s="59">
        <v>246</v>
      </c>
      <c r="B247" s="318" t="s">
        <v>305</v>
      </c>
      <c r="C247" s="318" t="s">
        <v>1017</v>
      </c>
      <c r="D247" s="322" t="s">
        <v>1018</v>
      </c>
      <c r="E247" s="322" t="s">
        <v>105</v>
      </c>
      <c r="F247" s="323" t="s">
        <v>2568</v>
      </c>
      <c r="G247" s="323">
        <v>24.736243999999999</v>
      </c>
      <c r="H247">
        <v>46.632551999999997</v>
      </c>
    </row>
    <row r="248" spans="1:8">
      <c r="A248" s="59">
        <v>247</v>
      </c>
      <c r="B248" s="318" t="s">
        <v>309</v>
      </c>
      <c r="C248" s="318" t="s">
        <v>1019</v>
      </c>
      <c r="D248" s="322" t="s">
        <v>1020</v>
      </c>
      <c r="E248" s="322" t="s">
        <v>1666</v>
      </c>
      <c r="F248" s="328" t="s">
        <v>2569</v>
      </c>
      <c r="G248" s="328">
        <v>24.778566000000001</v>
      </c>
      <c r="H248">
        <v>46.736466</v>
      </c>
    </row>
    <row r="249" spans="1:8">
      <c r="A249" s="59">
        <v>248</v>
      </c>
      <c r="B249" s="318" t="s">
        <v>309</v>
      </c>
      <c r="C249" s="318" t="s">
        <v>1021</v>
      </c>
      <c r="D249" s="322" t="s">
        <v>1022</v>
      </c>
      <c r="E249" s="322" t="s">
        <v>1666</v>
      </c>
      <c r="F249" s="323" t="s">
        <v>2570</v>
      </c>
      <c r="G249" s="323">
        <v>24.778760999999999</v>
      </c>
      <c r="H249">
        <v>46.736694</v>
      </c>
    </row>
    <row r="250" spans="1:8">
      <c r="A250" s="59">
        <v>249</v>
      </c>
      <c r="B250" s="318" t="s">
        <v>309</v>
      </c>
      <c r="C250" s="318" t="s">
        <v>1023</v>
      </c>
      <c r="D250" s="322" t="s">
        <v>1024</v>
      </c>
      <c r="E250" s="322" t="s">
        <v>1666</v>
      </c>
      <c r="F250" s="323" t="s">
        <v>2571</v>
      </c>
      <c r="G250" s="323">
        <v>24.778777000000002</v>
      </c>
      <c r="H250">
        <v>46.737008000000003</v>
      </c>
    </row>
    <row r="251" spans="1:8">
      <c r="A251" s="59">
        <v>250</v>
      </c>
      <c r="B251" s="318" t="s">
        <v>309</v>
      </c>
      <c r="C251" s="318" t="s">
        <v>1025</v>
      </c>
      <c r="D251" s="322" t="s">
        <v>1026</v>
      </c>
      <c r="E251" s="322" t="s">
        <v>1666</v>
      </c>
      <c r="F251" s="323" t="s">
        <v>2572</v>
      </c>
      <c r="G251" s="323">
        <v>24.778984000000001</v>
      </c>
      <c r="H251">
        <v>46.736969999999999</v>
      </c>
    </row>
    <row r="252" spans="1:8">
      <c r="A252" s="59">
        <v>251</v>
      </c>
      <c r="B252" s="318" t="s">
        <v>309</v>
      </c>
      <c r="C252" s="318" t="s">
        <v>1027</v>
      </c>
      <c r="D252" s="322" t="s">
        <v>1028</v>
      </c>
      <c r="E252" s="322" t="s">
        <v>1666</v>
      </c>
      <c r="F252" s="323" t="s">
        <v>2573</v>
      </c>
      <c r="G252" s="323">
        <v>24.778735999999999</v>
      </c>
      <c r="H252">
        <v>46.736390999999998</v>
      </c>
    </row>
    <row r="253" spans="1:8">
      <c r="A253" s="59">
        <v>252</v>
      </c>
      <c r="B253" s="318" t="s">
        <v>309</v>
      </c>
      <c r="C253" s="318" t="s">
        <v>1029</v>
      </c>
      <c r="D253" s="322" t="s">
        <v>1030</v>
      </c>
      <c r="E253" s="322" t="s">
        <v>1666</v>
      </c>
      <c r="F253" s="322" t="s">
        <v>2574</v>
      </c>
      <c r="G253" s="322">
        <v>24.778537</v>
      </c>
      <c r="H253">
        <v>46.736404</v>
      </c>
    </row>
    <row r="254" spans="1:8">
      <c r="A254" s="59">
        <v>253</v>
      </c>
      <c r="B254" s="318" t="s">
        <v>309</v>
      </c>
      <c r="C254" s="318" t="s">
        <v>1031</v>
      </c>
      <c r="D254" s="322" t="s">
        <v>1032</v>
      </c>
      <c r="E254" s="322" t="s">
        <v>1666</v>
      </c>
      <c r="F254" s="322" t="s">
        <v>2575</v>
      </c>
      <c r="G254" s="322">
        <v>24.77881</v>
      </c>
      <c r="H254">
        <v>46.737053000000003</v>
      </c>
    </row>
    <row r="255" spans="1:8">
      <c r="A255" s="59">
        <v>254</v>
      </c>
      <c r="B255" s="318" t="s">
        <v>312</v>
      </c>
      <c r="C255" s="318" t="s">
        <v>1033</v>
      </c>
      <c r="D255" s="322" t="s">
        <v>1034</v>
      </c>
      <c r="E255" s="322" t="s">
        <v>11</v>
      </c>
      <c r="F255" s="322" t="s">
        <v>2576</v>
      </c>
      <c r="G255" s="322">
        <v>24.773353</v>
      </c>
      <c r="H255">
        <v>46.724131</v>
      </c>
    </row>
    <row r="256" spans="1:8">
      <c r="A256" s="59">
        <v>255</v>
      </c>
      <c r="B256" s="318" t="s">
        <v>312</v>
      </c>
      <c r="C256" s="318" t="s">
        <v>1035</v>
      </c>
      <c r="D256" s="322" t="s">
        <v>1036</v>
      </c>
      <c r="E256" s="322" t="s">
        <v>11</v>
      </c>
      <c r="F256" s="322" t="s">
        <v>2577</v>
      </c>
      <c r="G256" s="322">
        <v>24.773296999999999</v>
      </c>
      <c r="H256">
        <v>46.723982999999997</v>
      </c>
    </row>
    <row r="257" spans="1:8">
      <c r="A257" s="59">
        <v>256</v>
      </c>
      <c r="B257" s="318" t="s">
        <v>312</v>
      </c>
      <c r="C257" s="318" t="s">
        <v>1037</v>
      </c>
      <c r="D257" s="322" t="s">
        <v>1038</v>
      </c>
      <c r="E257" s="322" t="s">
        <v>11</v>
      </c>
      <c r="F257" s="323" t="s">
        <v>2578</v>
      </c>
      <c r="G257" s="323">
        <v>24.773250999999998</v>
      </c>
      <c r="H257">
        <v>46.723426000000003</v>
      </c>
    </row>
    <row r="258" spans="1:8">
      <c r="A258" s="59">
        <v>257</v>
      </c>
      <c r="B258" s="318" t="s">
        <v>312</v>
      </c>
      <c r="C258" s="318" t="s">
        <v>1039</v>
      </c>
      <c r="D258" s="322" t="s">
        <v>1040</v>
      </c>
      <c r="E258" s="322" t="s">
        <v>11</v>
      </c>
      <c r="F258" s="322" t="s">
        <v>2579</v>
      </c>
      <c r="G258" s="322">
        <v>24.773253</v>
      </c>
      <c r="H258">
        <v>46.723685000000003</v>
      </c>
    </row>
    <row r="259" spans="1:8">
      <c r="A259" s="59">
        <v>258</v>
      </c>
      <c r="B259" s="318" t="s">
        <v>312</v>
      </c>
      <c r="C259" s="318" t="s">
        <v>1041</v>
      </c>
      <c r="D259" s="322" t="s">
        <v>1042</v>
      </c>
      <c r="E259" s="322" t="s">
        <v>11</v>
      </c>
      <c r="F259" s="323" t="s">
        <v>2580</v>
      </c>
      <c r="G259" s="323">
        <v>24.773012000000001</v>
      </c>
      <c r="H259">
        <v>46.723286000000002</v>
      </c>
    </row>
    <row r="260" spans="1:8">
      <c r="A260" s="59">
        <v>259</v>
      </c>
      <c r="B260" s="318" t="s">
        <v>312</v>
      </c>
      <c r="C260" s="318" t="s">
        <v>1043</v>
      </c>
      <c r="D260" s="322" t="s">
        <v>1044</v>
      </c>
      <c r="E260" s="322" t="s">
        <v>11</v>
      </c>
      <c r="F260" s="322" t="s">
        <v>2581</v>
      </c>
      <c r="G260" s="322">
        <v>24.773053000000001</v>
      </c>
      <c r="H260">
        <v>46.723421999999999</v>
      </c>
    </row>
    <row r="261" spans="1:8">
      <c r="A261" s="59">
        <v>260</v>
      </c>
      <c r="B261" s="318" t="s">
        <v>312</v>
      </c>
      <c r="C261" s="318" t="s">
        <v>1045</v>
      </c>
      <c r="D261" s="322" t="s">
        <v>1046</v>
      </c>
      <c r="E261" s="322" t="s">
        <v>11</v>
      </c>
      <c r="F261" s="323" t="s">
        <v>2576</v>
      </c>
      <c r="G261" s="323">
        <v>24.773353</v>
      </c>
      <c r="H261">
        <v>46.724131</v>
      </c>
    </row>
    <row r="262" spans="1:8">
      <c r="A262" s="59">
        <v>261</v>
      </c>
      <c r="B262" s="318" t="s">
        <v>75</v>
      </c>
      <c r="C262" s="318" t="s">
        <v>1047</v>
      </c>
      <c r="D262" s="322" t="s">
        <v>1048</v>
      </c>
      <c r="E262" s="322" t="s">
        <v>25</v>
      </c>
      <c r="F262" s="322" t="s">
        <v>2582</v>
      </c>
      <c r="G262" s="322">
        <v>24.686343999999998</v>
      </c>
      <c r="H262">
        <v>46.795763999999998</v>
      </c>
    </row>
    <row r="263" spans="1:8">
      <c r="A263" s="59">
        <v>262</v>
      </c>
      <c r="B263" s="318" t="s">
        <v>75</v>
      </c>
      <c r="C263" s="318" t="s">
        <v>1049</v>
      </c>
      <c r="D263" s="322" t="s">
        <v>149</v>
      </c>
      <c r="E263" s="322" t="s">
        <v>25</v>
      </c>
      <c r="F263" s="322" t="s">
        <v>2583</v>
      </c>
      <c r="G263" s="322">
        <v>24.686498</v>
      </c>
      <c r="H263">
        <v>46.796509999999998</v>
      </c>
    </row>
    <row r="264" spans="1:8">
      <c r="A264" s="59">
        <v>263</v>
      </c>
      <c r="B264" s="318" t="s">
        <v>75</v>
      </c>
      <c r="C264" s="318" t="s">
        <v>1050</v>
      </c>
      <c r="D264" s="322" t="s">
        <v>1051</v>
      </c>
      <c r="E264" s="322" t="s">
        <v>25</v>
      </c>
      <c r="F264" s="322" t="s">
        <v>2584</v>
      </c>
      <c r="G264" s="322">
        <v>24.685922999999999</v>
      </c>
      <c r="H264">
        <v>46.795287000000002</v>
      </c>
    </row>
    <row r="265" spans="1:8">
      <c r="A265" s="59">
        <v>264</v>
      </c>
      <c r="B265" s="318" t="s">
        <v>75</v>
      </c>
      <c r="C265" s="318" t="s">
        <v>1052</v>
      </c>
      <c r="D265" s="322" t="s">
        <v>1053</v>
      </c>
      <c r="E265" s="322" t="s">
        <v>25</v>
      </c>
      <c r="F265" s="322" t="s">
        <v>2585</v>
      </c>
      <c r="G265" s="322">
        <v>24.685665</v>
      </c>
      <c r="H265">
        <v>46.795458000000004</v>
      </c>
    </row>
    <row r="266" spans="1:8">
      <c r="A266" s="59">
        <v>265</v>
      </c>
      <c r="B266" s="318" t="s">
        <v>75</v>
      </c>
      <c r="C266" s="318" t="s">
        <v>1054</v>
      </c>
      <c r="D266" s="322" t="s">
        <v>1055</v>
      </c>
      <c r="E266" s="322" t="s">
        <v>25</v>
      </c>
      <c r="F266" s="323" t="s">
        <v>2586</v>
      </c>
      <c r="G266" s="323">
        <v>24.686243000000001</v>
      </c>
      <c r="H266">
        <v>46.796641000000001</v>
      </c>
    </row>
    <row r="267" spans="1:8">
      <c r="A267" s="59">
        <v>266</v>
      </c>
      <c r="B267" s="318" t="s">
        <v>75</v>
      </c>
      <c r="C267" s="318" t="s">
        <v>1056</v>
      </c>
      <c r="D267" s="322" t="s">
        <v>1057</v>
      </c>
      <c r="E267" s="322" t="s">
        <v>25</v>
      </c>
      <c r="F267" s="323" t="s">
        <v>2587</v>
      </c>
      <c r="G267" s="323">
        <v>24.686222000000001</v>
      </c>
      <c r="H267">
        <v>46.795878999999999</v>
      </c>
    </row>
    <row r="268" spans="1:8">
      <c r="A268" s="59">
        <v>267</v>
      </c>
      <c r="B268" s="318" t="s">
        <v>75</v>
      </c>
      <c r="C268" s="318" t="s">
        <v>1058</v>
      </c>
      <c r="D268" s="322" t="s">
        <v>1059</v>
      </c>
      <c r="E268" s="322" t="s">
        <v>25</v>
      </c>
      <c r="F268" s="323" t="s">
        <v>2588</v>
      </c>
      <c r="G268" s="323">
        <v>24.686388999999998</v>
      </c>
      <c r="H268">
        <v>46.796759999999999</v>
      </c>
    </row>
    <row r="269" spans="1:8">
      <c r="A269" s="59">
        <v>268</v>
      </c>
      <c r="B269" s="318" t="s">
        <v>75</v>
      </c>
      <c r="C269" s="318" t="s">
        <v>1060</v>
      </c>
      <c r="D269" s="322" t="s">
        <v>1061</v>
      </c>
      <c r="E269" s="322" t="s">
        <v>25</v>
      </c>
      <c r="F269" s="323" t="s">
        <v>2589</v>
      </c>
      <c r="G269" s="323">
        <v>24.685962</v>
      </c>
      <c r="H269">
        <v>46.796059</v>
      </c>
    </row>
    <row r="270" spans="1:8">
      <c r="A270" s="59">
        <v>269</v>
      </c>
      <c r="B270" s="318" t="s">
        <v>75</v>
      </c>
      <c r="C270" s="318" t="s">
        <v>1062</v>
      </c>
      <c r="D270" s="322" t="s">
        <v>1063</v>
      </c>
      <c r="E270" s="322" t="s">
        <v>25</v>
      </c>
      <c r="F270" s="323" t="s">
        <v>2590</v>
      </c>
      <c r="G270" s="323">
        <v>24.685780999999999</v>
      </c>
      <c r="H270">
        <v>46.795200999999999</v>
      </c>
    </row>
    <row r="271" spans="1:8">
      <c r="A271" s="59">
        <v>270</v>
      </c>
      <c r="B271" s="318" t="s">
        <v>76</v>
      </c>
      <c r="C271" s="318" t="s">
        <v>1064</v>
      </c>
      <c r="D271" s="322" t="s">
        <v>159</v>
      </c>
      <c r="E271" s="322" t="s">
        <v>41</v>
      </c>
      <c r="F271" s="322" t="s">
        <v>2591</v>
      </c>
      <c r="G271" s="322">
        <v>24.693214999999999</v>
      </c>
      <c r="H271">
        <v>46.809978999999998</v>
      </c>
    </row>
    <row r="272" spans="1:8">
      <c r="A272" s="59">
        <v>271</v>
      </c>
      <c r="B272" s="318" t="s">
        <v>76</v>
      </c>
      <c r="C272" s="318" t="s">
        <v>1065</v>
      </c>
      <c r="D272" s="322" t="s">
        <v>1066</v>
      </c>
      <c r="E272" s="322" t="s">
        <v>41</v>
      </c>
      <c r="F272" s="322" t="s">
        <v>2592</v>
      </c>
      <c r="G272" s="322">
        <v>24.692464000000001</v>
      </c>
      <c r="H272">
        <v>46.809120999999998</v>
      </c>
    </row>
    <row r="273" spans="1:8">
      <c r="A273" s="59">
        <v>272</v>
      </c>
      <c r="B273" s="318" t="s">
        <v>76</v>
      </c>
      <c r="C273" s="318" t="s">
        <v>1067</v>
      </c>
      <c r="D273" s="322" t="s">
        <v>1068</v>
      </c>
      <c r="E273" s="322" t="s">
        <v>41</v>
      </c>
      <c r="F273" s="322" t="s">
        <v>2593</v>
      </c>
      <c r="G273" s="322">
        <v>24.692937000000001</v>
      </c>
      <c r="H273">
        <v>46.810091999999997</v>
      </c>
    </row>
    <row r="274" spans="1:8">
      <c r="A274" s="59">
        <v>273</v>
      </c>
      <c r="B274" s="318" t="s">
        <v>76</v>
      </c>
      <c r="C274" s="318" t="s">
        <v>1069</v>
      </c>
      <c r="D274" s="322" t="s">
        <v>1070</v>
      </c>
      <c r="E274" s="322" t="s">
        <v>41</v>
      </c>
      <c r="F274" s="322" t="s">
        <v>2594</v>
      </c>
      <c r="G274" s="322">
        <v>24.692734999999999</v>
      </c>
      <c r="H274">
        <v>46.808973000000002</v>
      </c>
    </row>
    <row r="275" spans="1:8">
      <c r="A275" s="59">
        <v>274</v>
      </c>
      <c r="B275" s="318" t="s">
        <v>76</v>
      </c>
      <c r="C275" s="318" t="s">
        <v>1071</v>
      </c>
      <c r="D275" s="322" t="s">
        <v>1072</v>
      </c>
      <c r="E275" s="322" t="s">
        <v>41</v>
      </c>
      <c r="F275" s="322" t="s">
        <v>2595</v>
      </c>
      <c r="G275" s="322">
        <v>24.692632</v>
      </c>
      <c r="H275">
        <v>46.809710000000003</v>
      </c>
    </row>
    <row r="276" spans="1:8">
      <c r="A276" s="59">
        <v>275</v>
      </c>
      <c r="B276" s="318" t="s">
        <v>76</v>
      </c>
      <c r="C276" s="318" t="s">
        <v>1073</v>
      </c>
      <c r="D276" s="322" t="s">
        <v>1074</v>
      </c>
      <c r="E276" s="322" t="s">
        <v>41</v>
      </c>
      <c r="F276" s="322" t="s">
        <v>2596</v>
      </c>
      <c r="G276" s="322">
        <v>24.692945999999999</v>
      </c>
      <c r="H276">
        <v>46.809471000000002</v>
      </c>
    </row>
    <row r="277" spans="1:8">
      <c r="A277" s="59">
        <v>276</v>
      </c>
      <c r="B277" s="318" t="s">
        <v>76</v>
      </c>
      <c r="C277" s="318" t="s">
        <v>1075</v>
      </c>
      <c r="D277" s="322" t="s">
        <v>1076</v>
      </c>
      <c r="E277" s="322" t="s">
        <v>41</v>
      </c>
      <c r="F277" s="322" t="s">
        <v>2597</v>
      </c>
      <c r="G277" s="322">
        <v>24.693110999999998</v>
      </c>
      <c r="H277">
        <v>46.810273000000002</v>
      </c>
    </row>
    <row r="278" spans="1:8">
      <c r="A278" s="59">
        <v>277</v>
      </c>
      <c r="B278" s="318" t="s">
        <v>76</v>
      </c>
      <c r="C278" s="318" t="s">
        <v>1077</v>
      </c>
      <c r="D278" s="322" t="s">
        <v>1078</v>
      </c>
      <c r="E278" s="322" t="s">
        <v>41</v>
      </c>
      <c r="F278" s="322" t="s">
        <v>2598</v>
      </c>
      <c r="G278" s="322">
        <v>24.692692999999998</v>
      </c>
      <c r="H278">
        <v>46.809659000000003</v>
      </c>
    </row>
    <row r="279" spans="1:8">
      <c r="A279" s="59">
        <v>278</v>
      </c>
      <c r="B279" s="318" t="s">
        <v>76</v>
      </c>
      <c r="C279" s="318" t="s">
        <v>1079</v>
      </c>
      <c r="D279" s="322" t="s">
        <v>1080</v>
      </c>
      <c r="E279" s="322" t="s">
        <v>41</v>
      </c>
      <c r="F279" s="322" t="s">
        <v>2599</v>
      </c>
      <c r="G279" s="322">
        <v>24.692544999999999</v>
      </c>
      <c r="H279">
        <v>46.808858000000001</v>
      </c>
    </row>
    <row r="280" spans="1:8">
      <c r="A280" s="59">
        <v>279</v>
      </c>
      <c r="B280" s="318" t="s">
        <v>1081</v>
      </c>
      <c r="C280" s="318" t="s">
        <v>1082</v>
      </c>
      <c r="D280" s="322" t="s">
        <v>150</v>
      </c>
      <c r="E280" s="322" t="s">
        <v>1667</v>
      </c>
      <c r="F280" s="322" t="s">
        <v>2600</v>
      </c>
      <c r="G280" s="322">
        <v>24.688267</v>
      </c>
      <c r="H280">
        <v>46.663201000000001</v>
      </c>
    </row>
    <row r="281" spans="1:8">
      <c r="A281" s="59">
        <v>280</v>
      </c>
      <c r="B281" s="318" t="s">
        <v>1081</v>
      </c>
      <c r="C281" s="318" t="s">
        <v>1083</v>
      </c>
      <c r="D281" s="322" t="s">
        <v>1084</v>
      </c>
      <c r="E281" s="322" t="s">
        <v>1667</v>
      </c>
      <c r="F281" s="323" t="s">
        <v>2601</v>
      </c>
      <c r="G281" s="323">
        <v>24.687515999999999</v>
      </c>
      <c r="H281">
        <v>46.663684000000003</v>
      </c>
    </row>
    <row r="282" spans="1:8">
      <c r="A282" s="59">
        <v>281</v>
      </c>
      <c r="B282" s="318" t="s">
        <v>1081</v>
      </c>
      <c r="C282" s="318" t="s">
        <v>1085</v>
      </c>
      <c r="D282" s="322" t="s">
        <v>1086</v>
      </c>
      <c r="E282" s="322" t="s">
        <v>1667</v>
      </c>
      <c r="F282" s="322" t="s">
        <v>2602</v>
      </c>
      <c r="G282" s="322">
        <v>24.688233</v>
      </c>
      <c r="H282">
        <v>46.663054000000002</v>
      </c>
    </row>
    <row r="283" spans="1:8">
      <c r="A283" s="59">
        <v>282</v>
      </c>
      <c r="B283" s="318" t="s">
        <v>1081</v>
      </c>
      <c r="C283" s="318" t="s">
        <v>1087</v>
      </c>
      <c r="D283" s="322" t="s">
        <v>1088</v>
      </c>
      <c r="E283" s="322" t="s">
        <v>1667</v>
      </c>
      <c r="F283" s="322" t="s">
        <v>2603</v>
      </c>
      <c r="G283" s="322">
        <v>24.687317</v>
      </c>
      <c r="H283">
        <v>46.663595999999998</v>
      </c>
    </row>
    <row r="284" spans="1:8">
      <c r="A284" s="59">
        <v>283</v>
      </c>
      <c r="B284" s="318" t="s">
        <v>1081</v>
      </c>
      <c r="C284" s="318" t="s">
        <v>1089</v>
      </c>
      <c r="D284" s="322" t="s">
        <v>1090</v>
      </c>
      <c r="E284" s="322" t="s">
        <v>1667</v>
      </c>
      <c r="F284" s="323" t="s">
        <v>2604</v>
      </c>
      <c r="G284" s="323">
        <v>24.688291</v>
      </c>
      <c r="H284">
        <v>46.663003000000003</v>
      </c>
    </row>
    <row r="285" spans="1:8">
      <c r="A285" s="59">
        <v>284</v>
      </c>
      <c r="B285" s="318" t="s">
        <v>1081</v>
      </c>
      <c r="C285" s="318" t="s">
        <v>1091</v>
      </c>
      <c r="D285" s="322" t="s">
        <v>1092</v>
      </c>
      <c r="E285" s="322" t="s">
        <v>1667</v>
      </c>
      <c r="F285" s="323" t="s">
        <v>2605</v>
      </c>
      <c r="G285" s="323">
        <v>24.687270000000002</v>
      </c>
      <c r="H285">
        <v>46.663651999999999</v>
      </c>
    </row>
    <row r="286" spans="1:8">
      <c r="A286" s="59">
        <v>285</v>
      </c>
      <c r="B286" s="318" t="s">
        <v>1081</v>
      </c>
      <c r="C286" s="318" t="s">
        <v>1093</v>
      </c>
      <c r="D286" s="322" t="s">
        <v>1094</v>
      </c>
      <c r="E286" s="322" t="s">
        <v>1667</v>
      </c>
      <c r="F286" s="322" t="s">
        <v>2606</v>
      </c>
      <c r="G286" s="322">
        <v>24.687847999999999</v>
      </c>
      <c r="H286">
        <v>46.663369000000003</v>
      </c>
    </row>
    <row r="287" spans="1:8">
      <c r="A287" s="59">
        <v>286</v>
      </c>
      <c r="B287" s="318" t="s">
        <v>1095</v>
      </c>
      <c r="C287" s="318" t="s">
        <v>1096</v>
      </c>
      <c r="D287" s="322" t="s">
        <v>164</v>
      </c>
      <c r="E287" s="322" t="s">
        <v>1668</v>
      </c>
      <c r="F287" s="323" t="s">
        <v>2607</v>
      </c>
      <c r="G287" s="323">
        <v>24.694054999999999</v>
      </c>
      <c r="H287">
        <v>46.659416999999998</v>
      </c>
    </row>
    <row r="288" spans="1:8">
      <c r="A288" s="59">
        <v>287</v>
      </c>
      <c r="B288" s="318" t="s">
        <v>1095</v>
      </c>
      <c r="C288" s="318" t="s">
        <v>1097</v>
      </c>
      <c r="D288" s="322" t="s">
        <v>1098</v>
      </c>
      <c r="E288" s="322" t="s">
        <v>1668</v>
      </c>
      <c r="F288" s="322" t="s">
        <v>2608</v>
      </c>
      <c r="G288" s="322">
        <v>24.69462</v>
      </c>
      <c r="H288">
        <v>46.658890999999997</v>
      </c>
    </row>
    <row r="289" spans="1:8">
      <c r="A289" s="59">
        <v>288</v>
      </c>
      <c r="B289" s="318" t="s">
        <v>1095</v>
      </c>
      <c r="C289" s="318" t="s">
        <v>1099</v>
      </c>
      <c r="D289" s="322" t="s">
        <v>1100</v>
      </c>
      <c r="E289" s="322" t="s">
        <v>1668</v>
      </c>
      <c r="F289" s="322" t="s">
        <v>2609</v>
      </c>
      <c r="G289" s="322">
        <v>24.694358999999999</v>
      </c>
      <c r="H289">
        <v>46.659098</v>
      </c>
    </row>
    <row r="290" spans="1:8">
      <c r="A290" s="59">
        <v>289</v>
      </c>
      <c r="B290" s="318" t="s">
        <v>1095</v>
      </c>
      <c r="C290" s="318" t="s">
        <v>1101</v>
      </c>
      <c r="D290" s="322" t="s">
        <v>1102</v>
      </c>
      <c r="E290" s="322" t="s">
        <v>1668</v>
      </c>
      <c r="F290" s="322" t="s">
        <v>2610</v>
      </c>
      <c r="G290" s="322">
        <v>24.694617999999998</v>
      </c>
      <c r="H290">
        <v>46.659078999999998</v>
      </c>
    </row>
    <row r="291" spans="1:8">
      <c r="A291" s="59">
        <v>290</v>
      </c>
      <c r="B291" s="318" t="s">
        <v>1095</v>
      </c>
      <c r="C291" s="318" t="s">
        <v>1103</v>
      </c>
      <c r="D291" s="322" t="s">
        <v>1104</v>
      </c>
      <c r="E291" s="322" t="s">
        <v>1668</v>
      </c>
      <c r="F291" s="322" t="s">
        <v>2611</v>
      </c>
      <c r="G291" s="322">
        <v>24.694033000000001</v>
      </c>
      <c r="H291">
        <v>46.659247999999998</v>
      </c>
    </row>
    <row r="292" spans="1:8">
      <c r="A292" s="59">
        <v>291</v>
      </c>
      <c r="B292" s="318" t="s">
        <v>1095</v>
      </c>
      <c r="C292" s="318" t="s">
        <v>1105</v>
      </c>
      <c r="D292" s="322" t="s">
        <v>1106</v>
      </c>
      <c r="E292" s="322" t="s">
        <v>1668</v>
      </c>
      <c r="F292" s="322" t="s">
        <v>2612</v>
      </c>
      <c r="G292" s="322">
        <v>24.694742000000002</v>
      </c>
      <c r="H292">
        <v>46.659033000000001</v>
      </c>
    </row>
    <row r="293" spans="1:8">
      <c r="A293" s="59">
        <v>292</v>
      </c>
      <c r="B293" s="318" t="s">
        <v>1095</v>
      </c>
      <c r="C293" s="318" t="s">
        <v>1107</v>
      </c>
      <c r="D293" s="322" t="s">
        <v>1108</v>
      </c>
      <c r="E293" s="322" t="s">
        <v>1668</v>
      </c>
      <c r="F293" s="322" t="s">
        <v>2613</v>
      </c>
      <c r="G293" s="322">
        <v>24.693951999999999</v>
      </c>
      <c r="H293">
        <v>46.659291000000003</v>
      </c>
    </row>
    <row r="294" spans="1:8">
      <c r="A294" s="59">
        <v>293</v>
      </c>
      <c r="B294" s="318" t="s">
        <v>1095</v>
      </c>
      <c r="C294" s="318" t="s">
        <v>1109</v>
      </c>
      <c r="D294" s="322" t="s">
        <v>1110</v>
      </c>
      <c r="E294" s="322" t="s">
        <v>1668</v>
      </c>
      <c r="F294" s="322" t="s">
        <v>2614</v>
      </c>
      <c r="G294" s="322">
        <v>24.695485999999999</v>
      </c>
      <c r="H294">
        <v>46.658456999999999</v>
      </c>
    </row>
    <row r="295" spans="1:8">
      <c r="A295" s="59">
        <v>294</v>
      </c>
      <c r="B295" s="318" t="s">
        <v>1095</v>
      </c>
      <c r="C295" s="318" t="s">
        <v>1111</v>
      </c>
      <c r="D295" s="322" t="s">
        <v>1112</v>
      </c>
      <c r="E295" s="322" t="s">
        <v>1668</v>
      </c>
      <c r="F295" s="322" t="s">
        <v>2615</v>
      </c>
      <c r="G295" s="322">
        <v>24.693397999999998</v>
      </c>
      <c r="H295">
        <v>46.659686999999998</v>
      </c>
    </row>
    <row r="296" spans="1:8">
      <c r="A296" s="59">
        <v>295</v>
      </c>
      <c r="B296" s="318" t="s">
        <v>1095</v>
      </c>
      <c r="C296" s="318" t="s">
        <v>1113</v>
      </c>
      <c r="D296" s="322" t="s">
        <v>1114</v>
      </c>
      <c r="E296" s="322" t="s">
        <v>1668</v>
      </c>
      <c r="F296" s="322" t="s">
        <v>2616</v>
      </c>
      <c r="G296" s="322">
        <v>24.693259999999999</v>
      </c>
      <c r="H296">
        <v>46.659987999999998</v>
      </c>
    </row>
    <row r="297" spans="1:8">
      <c r="A297" s="59">
        <v>296</v>
      </c>
      <c r="B297" s="318" t="s">
        <v>1095</v>
      </c>
      <c r="C297" s="318" t="s">
        <v>1115</v>
      </c>
      <c r="D297" s="322" t="s">
        <v>1116</v>
      </c>
      <c r="E297" s="322" t="s">
        <v>1668</v>
      </c>
      <c r="F297" s="322" t="s">
        <v>2617</v>
      </c>
      <c r="G297" s="322">
        <v>24.693200000000001</v>
      </c>
      <c r="H297">
        <v>46.659835999999999</v>
      </c>
    </row>
    <row r="298" spans="1:8">
      <c r="A298" s="59">
        <v>297</v>
      </c>
      <c r="B298" s="318" t="s">
        <v>77</v>
      </c>
      <c r="C298" s="318" t="s">
        <v>1117</v>
      </c>
      <c r="D298" s="322" t="s">
        <v>1118</v>
      </c>
      <c r="E298" s="322" t="s">
        <v>38</v>
      </c>
      <c r="F298" s="322" t="s">
        <v>2618</v>
      </c>
      <c r="G298" s="322">
        <v>24.704813000000001</v>
      </c>
      <c r="H298">
        <v>46.653970999999999</v>
      </c>
    </row>
    <row r="299" spans="1:8">
      <c r="A299" s="59">
        <v>298</v>
      </c>
      <c r="B299" s="318" t="s">
        <v>77</v>
      </c>
      <c r="C299" s="318" t="s">
        <v>1119</v>
      </c>
      <c r="D299" s="322" t="s">
        <v>1120</v>
      </c>
      <c r="E299" s="322" t="s">
        <v>38</v>
      </c>
      <c r="F299" s="328" t="s">
        <v>2619</v>
      </c>
      <c r="G299" s="328">
        <v>24.704035999999999</v>
      </c>
      <c r="H299">
        <v>46.654189000000002</v>
      </c>
    </row>
    <row r="300" spans="1:8">
      <c r="A300" s="59">
        <v>299</v>
      </c>
      <c r="B300" s="318" t="s">
        <v>77</v>
      </c>
      <c r="C300" s="318" t="s">
        <v>1121</v>
      </c>
      <c r="D300" s="322" t="s">
        <v>1122</v>
      </c>
      <c r="E300" s="322" t="s">
        <v>38</v>
      </c>
      <c r="F300" s="323" t="s">
        <v>2620</v>
      </c>
      <c r="G300" s="323">
        <v>24.704121000000001</v>
      </c>
      <c r="H300">
        <v>46.654314999999997</v>
      </c>
    </row>
    <row r="301" spans="1:8">
      <c r="A301" s="59">
        <v>300</v>
      </c>
      <c r="B301" s="318" t="s">
        <v>77</v>
      </c>
      <c r="C301" s="318" t="s">
        <v>1123</v>
      </c>
      <c r="D301" s="322" t="s">
        <v>1124</v>
      </c>
      <c r="E301" s="322" t="s">
        <v>38</v>
      </c>
      <c r="F301" s="323" t="s">
        <v>2621</v>
      </c>
      <c r="G301" s="323">
        <v>24.704720999999999</v>
      </c>
      <c r="H301">
        <v>46.653821999999998</v>
      </c>
    </row>
    <row r="302" spans="1:8">
      <c r="A302" s="59">
        <v>301</v>
      </c>
      <c r="B302" s="318" t="s">
        <v>77</v>
      </c>
      <c r="C302" s="318" t="s">
        <v>1125</v>
      </c>
      <c r="D302" s="322" t="s">
        <v>1126</v>
      </c>
      <c r="E302" s="322" t="s">
        <v>38</v>
      </c>
      <c r="F302" s="323" t="s">
        <v>2622</v>
      </c>
      <c r="G302" s="323">
        <v>24.704799999999999</v>
      </c>
      <c r="H302">
        <v>46.653790000000001</v>
      </c>
    </row>
    <row r="303" spans="1:8">
      <c r="A303" s="59">
        <v>302</v>
      </c>
      <c r="B303" s="318" t="s">
        <v>77</v>
      </c>
      <c r="C303" s="318" t="s">
        <v>1127</v>
      </c>
      <c r="D303" s="322" t="s">
        <v>1128</v>
      </c>
      <c r="E303" s="322" t="s">
        <v>38</v>
      </c>
      <c r="F303" s="323" t="s">
        <v>2623</v>
      </c>
      <c r="G303" s="323">
        <v>24.703946999999999</v>
      </c>
      <c r="H303">
        <v>46.654203000000003</v>
      </c>
    </row>
    <row r="304" spans="1:8">
      <c r="A304" s="59">
        <v>303</v>
      </c>
      <c r="B304" s="318" t="s">
        <v>1129</v>
      </c>
      <c r="C304" s="318" t="s">
        <v>1130</v>
      </c>
      <c r="D304" s="322" t="s">
        <v>131</v>
      </c>
      <c r="E304" s="322" t="s">
        <v>1669</v>
      </c>
      <c r="F304" s="323" t="s">
        <v>2624</v>
      </c>
      <c r="G304" s="323">
        <v>24.819922999999999</v>
      </c>
      <c r="H304">
        <v>46.700035999999997</v>
      </c>
    </row>
    <row r="305" spans="1:8">
      <c r="A305" s="59">
        <v>304</v>
      </c>
      <c r="B305" s="318" t="s">
        <v>1129</v>
      </c>
      <c r="C305" s="318" t="s">
        <v>1131</v>
      </c>
      <c r="D305" s="322" t="s">
        <v>1132</v>
      </c>
      <c r="E305" s="322" t="s">
        <v>1669</v>
      </c>
      <c r="F305" s="323" t="s">
        <v>2625</v>
      </c>
      <c r="G305" s="323">
        <v>24.819527000000001</v>
      </c>
      <c r="H305">
        <v>46.700260999999998</v>
      </c>
    </row>
    <row r="306" spans="1:8">
      <c r="A306" s="59">
        <v>305</v>
      </c>
      <c r="B306" s="318" t="s">
        <v>1129</v>
      </c>
      <c r="C306" s="318" t="s">
        <v>1133</v>
      </c>
      <c r="D306" s="322" t="s">
        <v>1134</v>
      </c>
      <c r="E306" s="322" t="s">
        <v>1669</v>
      </c>
      <c r="F306" s="323" t="s">
        <v>2626</v>
      </c>
      <c r="G306" s="323">
        <v>24.819151999999999</v>
      </c>
      <c r="H306">
        <v>46.700811000000002</v>
      </c>
    </row>
    <row r="307" spans="1:8">
      <c r="A307" s="59">
        <v>306</v>
      </c>
      <c r="B307" s="318" t="s">
        <v>1129</v>
      </c>
      <c r="C307" s="318" t="s">
        <v>1135</v>
      </c>
      <c r="D307" s="322" t="s">
        <v>1136</v>
      </c>
      <c r="E307" s="322" t="s">
        <v>1669</v>
      </c>
      <c r="F307" s="323" t="s">
        <v>2627</v>
      </c>
      <c r="G307" s="323">
        <v>24.819590999999999</v>
      </c>
      <c r="H307">
        <v>46.700386000000002</v>
      </c>
    </row>
    <row r="308" spans="1:8">
      <c r="A308" s="59">
        <v>307</v>
      </c>
      <c r="B308" s="318" t="s">
        <v>1129</v>
      </c>
      <c r="C308" s="318" t="s">
        <v>1137</v>
      </c>
      <c r="D308" s="322" t="s">
        <v>1138</v>
      </c>
      <c r="E308" s="322" t="s">
        <v>1669</v>
      </c>
      <c r="F308" s="323" t="s">
        <v>2628</v>
      </c>
      <c r="G308" s="323">
        <v>24.819199999999999</v>
      </c>
      <c r="H308">
        <v>46.701165000000003</v>
      </c>
    </row>
    <row r="309" spans="1:8">
      <c r="A309" s="59">
        <v>308</v>
      </c>
      <c r="B309" s="318" t="s">
        <v>1129</v>
      </c>
      <c r="C309" s="318" t="s">
        <v>1139</v>
      </c>
      <c r="D309" s="322" t="s">
        <v>1140</v>
      </c>
      <c r="E309" s="322" t="s">
        <v>1669</v>
      </c>
      <c r="F309" s="323" t="s">
        <v>2629</v>
      </c>
      <c r="G309" s="323">
        <v>24.818975999999999</v>
      </c>
      <c r="H309">
        <v>46.701593000000003</v>
      </c>
    </row>
    <row r="310" spans="1:8">
      <c r="A310" s="59">
        <v>309</v>
      </c>
      <c r="B310" s="318" t="s">
        <v>1129</v>
      </c>
      <c r="C310" s="318" t="s">
        <v>1141</v>
      </c>
      <c r="D310" s="322" t="s">
        <v>1142</v>
      </c>
      <c r="E310" s="322" t="s">
        <v>1669</v>
      </c>
      <c r="F310" s="323" t="s">
        <v>2630</v>
      </c>
      <c r="G310" s="323">
        <v>24.820048</v>
      </c>
      <c r="H310">
        <v>46.700007999999997</v>
      </c>
    </row>
    <row r="311" spans="1:8">
      <c r="A311" s="59">
        <v>310</v>
      </c>
      <c r="B311" s="318" t="s">
        <v>90</v>
      </c>
      <c r="C311" s="318" t="s">
        <v>1143</v>
      </c>
      <c r="D311" s="318" t="s">
        <v>1144</v>
      </c>
      <c r="E311" s="322" t="s">
        <v>89</v>
      </c>
      <c r="F311" s="318" t="s">
        <v>2631</v>
      </c>
      <c r="G311" s="318">
        <v>24.792597000000001</v>
      </c>
      <c r="H311">
        <v>46.834708999999997</v>
      </c>
    </row>
    <row r="312" spans="1:8">
      <c r="A312" s="59">
        <v>311</v>
      </c>
      <c r="B312" s="318" t="s">
        <v>90</v>
      </c>
      <c r="C312" s="318" t="s">
        <v>1145</v>
      </c>
      <c r="D312" s="318" t="s">
        <v>1146</v>
      </c>
      <c r="E312" s="322" t="s">
        <v>89</v>
      </c>
      <c r="F312" s="318" t="s">
        <v>2632</v>
      </c>
      <c r="G312" s="318">
        <v>24.795041999999999</v>
      </c>
      <c r="H312">
        <v>46.839517000000001</v>
      </c>
    </row>
    <row r="313" spans="1:8">
      <c r="A313" s="59">
        <v>312</v>
      </c>
      <c r="B313" s="318" t="s">
        <v>1147</v>
      </c>
      <c r="C313" s="318" t="s">
        <v>1148</v>
      </c>
      <c r="D313" s="322" t="s">
        <v>1149</v>
      </c>
      <c r="E313" s="322" t="s">
        <v>78</v>
      </c>
      <c r="F313" s="323" t="s">
        <v>2633</v>
      </c>
      <c r="G313" s="323">
        <v>24.728846000000001</v>
      </c>
      <c r="H313">
        <v>46.692503000000002</v>
      </c>
    </row>
    <row r="314" spans="1:8">
      <c r="A314" s="59">
        <v>313</v>
      </c>
      <c r="B314" s="318" t="s">
        <v>1150</v>
      </c>
      <c r="C314" s="318" t="s">
        <v>1151</v>
      </c>
      <c r="D314" s="322" t="s">
        <v>1152</v>
      </c>
      <c r="E314" s="322" t="s">
        <v>79</v>
      </c>
      <c r="F314" s="323" t="s">
        <v>2634</v>
      </c>
      <c r="G314" s="323">
        <v>24.756553</v>
      </c>
      <c r="H314">
        <v>46.711252000000002</v>
      </c>
    </row>
    <row r="315" spans="1:8">
      <c r="A315" s="59">
        <v>314</v>
      </c>
      <c r="B315" s="318" t="s">
        <v>1153</v>
      </c>
      <c r="C315" s="318" t="s">
        <v>1154</v>
      </c>
      <c r="D315" s="322" t="s">
        <v>1155</v>
      </c>
      <c r="E315" s="322" t="s">
        <v>80</v>
      </c>
      <c r="F315" s="323" t="s">
        <v>2635</v>
      </c>
      <c r="G315" s="323">
        <v>24.758239</v>
      </c>
      <c r="H315">
        <v>46.686377</v>
      </c>
    </row>
    <row r="316" spans="1:8">
      <c r="A316" s="59">
        <v>315</v>
      </c>
      <c r="B316" s="329" t="s">
        <v>1156</v>
      </c>
      <c r="C316" s="318" t="s">
        <v>1157</v>
      </c>
      <c r="D316" s="318" t="s">
        <v>1158</v>
      </c>
      <c r="E316" s="318" t="s">
        <v>91</v>
      </c>
      <c r="F316" s="318" t="s">
        <v>2636</v>
      </c>
      <c r="G316" s="318">
        <v>24.693738</v>
      </c>
      <c r="H316">
        <v>46.752473999999999</v>
      </c>
    </row>
    <row r="317" spans="1:8">
      <c r="A317" s="59">
        <v>316</v>
      </c>
      <c r="B317" s="329" t="s">
        <v>1159</v>
      </c>
      <c r="C317" s="318" t="s">
        <v>1160</v>
      </c>
      <c r="D317" s="318" t="s">
        <v>1161</v>
      </c>
      <c r="E317" s="318" t="s">
        <v>92</v>
      </c>
      <c r="F317" s="318" t="s">
        <v>2637</v>
      </c>
      <c r="G317" s="318">
        <v>24.593834999999999</v>
      </c>
      <c r="H317">
        <v>46.774956000000003</v>
      </c>
    </row>
    <row r="318" spans="1:8">
      <c r="A318" s="59">
        <v>317</v>
      </c>
      <c r="B318" s="329" t="s">
        <v>1162</v>
      </c>
      <c r="C318" s="318" t="s">
        <v>1163</v>
      </c>
      <c r="D318" s="318" t="s">
        <v>1164</v>
      </c>
      <c r="E318" s="318" t="s">
        <v>93</v>
      </c>
      <c r="F318" s="318" t="s">
        <v>2638</v>
      </c>
      <c r="G318" s="318">
        <v>24.586462999999998</v>
      </c>
      <c r="H318">
        <v>46.778711000000001</v>
      </c>
    </row>
    <row r="319" spans="1:8">
      <c r="A319" s="59">
        <v>318</v>
      </c>
      <c r="B319" s="318" t="s">
        <v>1165</v>
      </c>
      <c r="C319" s="318" t="s">
        <v>1166</v>
      </c>
      <c r="D319" s="322" t="s">
        <v>1167</v>
      </c>
      <c r="E319" s="322" t="s">
        <v>81</v>
      </c>
      <c r="F319" s="323" t="s">
        <v>2639</v>
      </c>
      <c r="G319" s="323">
        <v>24.752137000000001</v>
      </c>
      <c r="H319">
        <v>46.672735000000003</v>
      </c>
    </row>
    <row r="320" spans="1:8">
      <c r="A320" s="59">
        <v>319</v>
      </c>
      <c r="B320" s="329" t="s">
        <v>1168</v>
      </c>
      <c r="C320" s="318" t="s">
        <v>1169</v>
      </c>
      <c r="D320" s="318" t="s">
        <v>156</v>
      </c>
      <c r="E320" s="318" t="s">
        <v>102</v>
      </c>
      <c r="F320" s="318" t="s">
        <v>2640</v>
      </c>
      <c r="G320" s="318">
        <v>24.653704000000001</v>
      </c>
      <c r="H320">
        <v>46.715367000000001</v>
      </c>
    </row>
    <row r="321" spans="1:8">
      <c r="A321" s="59">
        <v>320</v>
      </c>
      <c r="B321" s="329" t="s">
        <v>1168</v>
      </c>
      <c r="C321" s="318" t="s">
        <v>1170</v>
      </c>
      <c r="D321" s="318" t="s">
        <v>1171</v>
      </c>
      <c r="E321" s="318" t="s">
        <v>102</v>
      </c>
      <c r="F321" s="318" t="s">
        <v>2641</v>
      </c>
      <c r="G321" s="318">
        <v>24.653772</v>
      </c>
      <c r="H321">
        <v>46.715609999999998</v>
      </c>
    </row>
    <row r="322" spans="1:8">
      <c r="A322" s="59">
        <v>321</v>
      </c>
      <c r="B322" s="329" t="s">
        <v>1168</v>
      </c>
      <c r="C322" s="318" t="s">
        <v>1172</v>
      </c>
      <c r="D322" s="318" t="s">
        <v>1173</v>
      </c>
      <c r="E322" s="318" t="s">
        <v>102</v>
      </c>
      <c r="F322" s="318" t="s">
        <v>2642</v>
      </c>
      <c r="G322" s="318">
        <v>24.653566999999999</v>
      </c>
      <c r="H322">
        <v>46.714055999999999</v>
      </c>
    </row>
    <row r="323" spans="1:8">
      <c r="A323" s="59">
        <v>322</v>
      </c>
      <c r="B323" s="329" t="s">
        <v>1168</v>
      </c>
      <c r="C323" s="318" t="s">
        <v>1174</v>
      </c>
      <c r="D323" s="318" t="s">
        <v>1175</v>
      </c>
      <c r="E323" s="318" t="s">
        <v>102</v>
      </c>
      <c r="F323" s="318" t="s">
        <v>2643</v>
      </c>
      <c r="G323" s="318">
        <v>24.653842999999998</v>
      </c>
      <c r="H323">
        <v>46.715854</v>
      </c>
    </row>
    <row r="324" spans="1:8">
      <c r="A324" s="59">
        <v>323</v>
      </c>
      <c r="B324" s="329" t="s">
        <v>1168</v>
      </c>
      <c r="C324" s="318" t="s">
        <v>1176</v>
      </c>
      <c r="D324" s="318" t="s">
        <v>1177</v>
      </c>
      <c r="E324" s="318" t="s">
        <v>102</v>
      </c>
      <c r="F324" s="318" t="s">
        <v>2644</v>
      </c>
      <c r="G324" s="318">
        <v>24.654755000000002</v>
      </c>
      <c r="H324">
        <v>46.716662999999997</v>
      </c>
    </row>
    <row r="325" spans="1:8">
      <c r="A325" s="59">
        <v>324</v>
      </c>
      <c r="B325" s="329" t="s">
        <v>1168</v>
      </c>
      <c r="C325" s="318" t="s">
        <v>1178</v>
      </c>
      <c r="D325" s="318" t="s">
        <v>1179</v>
      </c>
      <c r="E325" s="318" t="s">
        <v>102</v>
      </c>
      <c r="F325" s="318" t="s">
        <v>2645</v>
      </c>
      <c r="G325" s="318">
        <v>24.656576999999999</v>
      </c>
      <c r="H325">
        <v>46.717528999999999</v>
      </c>
    </row>
    <row r="326" spans="1:8">
      <c r="A326" s="59">
        <v>325</v>
      </c>
      <c r="B326" s="329" t="s">
        <v>1168</v>
      </c>
      <c r="C326" s="318" t="s">
        <v>1180</v>
      </c>
      <c r="D326" s="318" t="s">
        <v>1181</v>
      </c>
      <c r="E326" s="318" t="s">
        <v>102</v>
      </c>
      <c r="F326" s="318" t="s">
        <v>2646</v>
      </c>
      <c r="G326" s="318">
        <v>24.655435000000001</v>
      </c>
      <c r="H326">
        <v>46.716828</v>
      </c>
    </row>
    <row r="327" spans="1:8">
      <c r="A327" s="59">
        <v>326</v>
      </c>
      <c r="B327" s="329" t="s">
        <v>1168</v>
      </c>
      <c r="C327" s="318" t="s">
        <v>1182</v>
      </c>
      <c r="D327" s="318" t="s">
        <v>1183</v>
      </c>
      <c r="E327" s="318" t="s">
        <v>102</v>
      </c>
      <c r="F327" s="318" t="s">
        <v>2647</v>
      </c>
      <c r="G327" s="318">
        <v>24.656442999999999</v>
      </c>
      <c r="H327">
        <v>46.717604000000001</v>
      </c>
    </row>
    <row r="328" spans="1:8">
      <c r="A328" s="59">
        <v>327</v>
      </c>
      <c r="B328" s="329" t="s">
        <v>1168</v>
      </c>
      <c r="C328" s="318" t="s">
        <v>1184</v>
      </c>
      <c r="D328" s="318" t="s">
        <v>1185</v>
      </c>
      <c r="E328" s="318" t="s">
        <v>102</v>
      </c>
      <c r="F328" s="318" t="s">
        <v>2648</v>
      </c>
      <c r="G328" s="318">
        <v>24.654979000000001</v>
      </c>
      <c r="H328">
        <v>46.716769999999997</v>
      </c>
    </row>
    <row r="329" spans="1:8">
      <c r="A329" s="59">
        <v>328</v>
      </c>
      <c r="B329" s="329" t="s">
        <v>1168</v>
      </c>
      <c r="C329" s="318" t="s">
        <v>1186</v>
      </c>
      <c r="D329" s="318" t="s">
        <v>1187</v>
      </c>
      <c r="E329" s="318" t="s">
        <v>102</v>
      </c>
      <c r="F329" s="318" t="s">
        <v>2649</v>
      </c>
      <c r="G329" s="318">
        <v>24.656610000000001</v>
      </c>
      <c r="H329">
        <v>46.717512999999997</v>
      </c>
    </row>
    <row r="330" spans="1:8">
      <c r="A330" s="59">
        <v>329</v>
      </c>
      <c r="B330" s="317" t="s">
        <v>1188</v>
      </c>
      <c r="C330" s="318" t="s">
        <v>1189</v>
      </c>
      <c r="D330" s="317" t="s">
        <v>123</v>
      </c>
      <c r="E330" s="317" t="s">
        <v>59</v>
      </c>
      <c r="F330" s="318" t="s">
        <v>2650</v>
      </c>
      <c r="G330" s="318">
        <v>24.744479999999999</v>
      </c>
      <c r="H330">
        <v>46.655082999999998</v>
      </c>
    </row>
    <row r="331" spans="1:8">
      <c r="A331" s="59">
        <v>330</v>
      </c>
      <c r="B331" s="317" t="s">
        <v>1188</v>
      </c>
      <c r="C331" s="317" t="s">
        <v>1190</v>
      </c>
      <c r="D331" s="317" t="s">
        <v>124</v>
      </c>
      <c r="E331" s="317" t="s">
        <v>59</v>
      </c>
      <c r="F331" s="317" t="s">
        <v>2651</v>
      </c>
      <c r="G331" s="317">
        <v>24.744460499999999</v>
      </c>
      <c r="H331">
        <v>46.655528500000003</v>
      </c>
    </row>
    <row r="332" spans="1:8">
      <c r="A332" s="59">
        <v>331</v>
      </c>
      <c r="B332" s="317" t="s">
        <v>1188</v>
      </c>
      <c r="C332" s="317" t="s">
        <v>1191</v>
      </c>
      <c r="D332" s="317" t="s">
        <v>125</v>
      </c>
      <c r="E332" s="317" t="s">
        <v>59</v>
      </c>
      <c r="F332" s="317" t="s">
        <v>2652</v>
      </c>
      <c r="G332" s="317">
        <v>24.7444901</v>
      </c>
      <c r="H332">
        <v>46.655609300000002</v>
      </c>
    </row>
    <row r="333" spans="1:8">
      <c r="A333" s="59">
        <v>332</v>
      </c>
      <c r="B333" s="317" t="s">
        <v>1188</v>
      </c>
      <c r="C333" s="317" t="s">
        <v>1192</v>
      </c>
      <c r="D333" s="317" t="s">
        <v>126</v>
      </c>
      <c r="E333" s="317" t="s">
        <v>59</v>
      </c>
      <c r="F333" s="317" t="s">
        <v>2653</v>
      </c>
      <c r="G333" s="317">
        <v>24.744530999999998</v>
      </c>
      <c r="H333">
        <v>46.655754999999999</v>
      </c>
    </row>
    <row r="334" spans="1:8">
      <c r="A334" s="59">
        <v>333</v>
      </c>
      <c r="B334" s="317" t="s">
        <v>1188</v>
      </c>
      <c r="C334" s="317" t="s">
        <v>1193</v>
      </c>
      <c r="D334" s="317" t="s">
        <v>1194</v>
      </c>
      <c r="E334" s="317" t="s">
        <v>59</v>
      </c>
      <c r="F334" s="317" t="s">
        <v>2654</v>
      </c>
      <c r="G334" s="317">
        <v>24.744406000000001</v>
      </c>
      <c r="H334">
        <v>46.655447000000002</v>
      </c>
    </row>
    <row r="335" spans="1:8">
      <c r="A335" s="59">
        <v>334</v>
      </c>
      <c r="B335" s="317" t="s">
        <v>1195</v>
      </c>
      <c r="C335" s="317" t="s">
        <v>1196</v>
      </c>
      <c r="D335" s="317" t="s">
        <v>1197</v>
      </c>
      <c r="E335" s="317" t="s">
        <v>1670</v>
      </c>
      <c r="F335" s="317" t="s">
        <v>2655</v>
      </c>
      <c r="G335" s="317">
        <v>24.746030000000001</v>
      </c>
      <c r="H335">
        <v>46.658819999999999</v>
      </c>
    </row>
    <row r="336" spans="1:8">
      <c r="A336" s="59">
        <v>335</v>
      </c>
      <c r="B336" s="317" t="s">
        <v>1195</v>
      </c>
      <c r="C336" s="317" t="s">
        <v>1198</v>
      </c>
      <c r="D336" s="317" t="s">
        <v>1199</v>
      </c>
      <c r="E336" s="317" t="s">
        <v>1670</v>
      </c>
      <c r="F336" s="317" t="s">
        <v>2656</v>
      </c>
      <c r="G336" s="317">
        <v>24.745771999999999</v>
      </c>
      <c r="H336">
        <v>46.658714000000003</v>
      </c>
    </row>
    <row r="337" spans="1:8">
      <c r="A337" s="59">
        <v>336</v>
      </c>
      <c r="B337" s="317" t="s">
        <v>1200</v>
      </c>
      <c r="C337" s="318" t="s">
        <v>1201</v>
      </c>
      <c r="D337" s="317" t="s">
        <v>1202</v>
      </c>
      <c r="E337" s="317" t="s">
        <v>94</v>
      </c>
      <c r="F337" s="318" t="s">
        <v>2657</v>
      </c>
      <c r="G337" s="318">
        <v>24.768618</v>
      </c>
      <c r="H337">
        <v>46.712316999999999</v>
      </c>
    </row>
    <row r="338" spans="1:8">
      <c r="A338" s="59">
        <v>337</v>
      </c>
      <c r="B338" s="317" t="s">
        <v>1200</v>
      </c>
      <c r="C338" s="318" t="s">
        <v>1203</v>
      </c>
      <c r="D338" s="317" t="s">
        <v>1204</v>
      </c>
      <c r="E338" s="317" t="s">
        <v>94</v>
      </c>
      <c r="F338" s="317" t="s">
        <v>2658</v>
      </c>
      <c r="G338" s="317">
        <v>24.768833000000001</v>
      </c>
      <c r="H338">
        <v>46.712778</v>
      </c>
    </row>
    <row r="339" spans="1:8">
      <c r="A339" s="59">
        <v>338</v>
      </c>
      <c r="B339" s="317" t="s">
        <v>1200</v>
      </c>
      <c r="C339" s="318" t="s">
        <v>1205</v>
      </c>
      <c r="D339" s="317" t="s">
        <v>1206</v>
      </c>
      <c r="E339" s="317" t="s">
        <v>94</v>
      </c>
      <c r="F339" s="317" t="s">
        <v>2659</v>
      </c>
      <c r="G339" s="317">
        <v>24.768432000000001</v>
      </c>
      <c r="H339">
        <v>46.712470000000003</v>
      </c>
    </row>
    <row r="340" spans="1:8">
      <c r="A340" s="59">
        <v>339</v>
      </c>
      <c r="B340" s="317" t="s">
        <v>1207</v>
      </c>
      <c r="C340" s="317" t="s">
        <v>1208</v>
      </c>
      <c r="D340" s="318" t="s">
        <v>147</v>
      </c>
      <c r="E340" s="318" t="s">
        <v>45</v>
      </c>
      <c r="F340" s="318" t="s">
        <v>2660</v>
      </c>
      <c r="G340" s="318">
        <v>24.691928000000001</v>
      </c>
      <c r="H340">
        <v>46.718046999999999</v>
      </c>
    </row>
    <row r="341" spans="1:8">
      <c r="A341" s="59">
        <v>340</v>
      </c>
      <c r="B341" s="317" t="s">
        <v>1207</v>
      </c>
      <c r="C341" s="317" t="s">
        <v>1209</v>
      </c>
      <c r="D341" s="318" t="s">
        <v>1210</v>
      </c>
      <c r="E341" s="318" t="s">
        <v>45</v>
      </c>
      <c r="F341" s="317" t="s">
        <v>2661</v>
      </c>
      <c r="G341" s="317">
        <v>24.692927000000001</v>
      </c>
      <c r="H341">
        <v>46.718107000000003</v>
      </c>
    </row>
    <row r="342" spans="1:8">
      <c r="A342" s="59">
        <v>341</v>
      </c>
      <c r="B342" s="317" t="s">
        <v>1207</v>
      </c>
      <c r="C342" s="317" t="s">
        <v>1211</v>
      </c>
      <c r="D342" s="318" t="s">
        <v>1212</v>
      </c>
      <c r="E342" s="318" t="s">
        <v>45</v>
      </c>
      <c r="F342" s="317" t="s">
        <v>2662</v>
      </c>
      <c r="G342" s="317" t="s">
        <v>2361</v>
      </c>
      <c r="H342" t="s">
        <v>2663</v>
      </c>
    </row>
    <row r="343" spans="1:8">
      <c r="A343" s="59">
        <v>342</v>
      </c>
      <c r="B343" s="317" t="s">
        <v>1207</v>
      </c>
      <c r="C343" s="317" t="s">
        <v>1213</v>
      </c>
      <c r="D343" s="318" t="s">
        <v>1214</v>
      </c>
      <c r="E343" s="318" t="s">
        <v>45</v>
      </c>
      <c r="F343" s="317" t="s">
        <v>2664</v>
      </c>
      <c r="G343" s="317">
        <v>24.692823000000001</v>
      </c>
      <c r="H343">
        <v>46.718105000000001</v>
      </c>
    </row>
    <row r="344" spans="1:8">
      <c r="A344" s="59">
        <v>343</v>
      </c>
      <c r="B344" s="317" t="s">
        <v>1207</v>
      </c>
      <c r="C344" s="317" t="s">
        <v>1215</v>
      </c>
      <c r="D344" s="318" t="s">
        <v>1216</v>
      </c>
      <c r="E344" s="318" t="s">
        <v>45</v>
      </c>
      <c r="F344" s="317" t="s">
        <v>2665</v>
      </c>
      <c r="G344" s="317">
        <v>24.691970000000001</v>
      </c>
      <c r="H344">
        <v>46.717936000000002</v>
      </c>
    </row>
    <row r="345" spans="1:8">
      <c r="A345" s="59">
        <v>344</v>
      </c>
      <c r="B345" s="317" t="s">
        <v>1207</v>
      </c>
      <c r="C345" s="317" t="s">
        <v>1217</v>
      </c>
      <c r="D345" s="318" t="s">
        <v>1218</v>
      </c>
      <c r="E345" s="318" t="s">
        <v>45</v>
      </c>
      <c r="F345" s="318" t="s">
        <v>2666</v>
      </c>
      <c r="G345" s="318">
        <v>24.692094999999998</v>
      </c>
      <c r="H345">
        <v>46.718429999999998</v>
      </c>
    </row>
    <row r="346" spans="1:8">
      <c r="A346" s="59">
        <v>345</v>
      </c>
      <c r="B346" s="318" t="s">
        <v>1219</v>
      </c>
      <c r="C346" s="317" t="s">
        <v>1220</v>
      </c>
      <c r="D346" s="318" t="s">
        <v>1221</v>
      </c>
      <c r="E346" s="318" t="s">
        <v>1671</v>
      </c>
      <c r="F346" s="318" t="s">
        <v>2667</v>
      </c>
      <c r="G346" s="318">
        <v>24.761066</v>
      </c>
      <c r="H346">
        <v>46.647005999999998</v>
      </c>
    </row>
    <row r="347" spans="1:8">
      <c r="A347" s="59">
        <v>346</v>
      </c>
      <c r="B347" s="318" t="s">
        <v>1219</v>
      </c>
      <c r="C347" s="317" t="s">
        <v>1222</v>
      </c>
      <c r="D347" s="318" t="s">
        <v>1223</v>
      </c>
      <c r="E347" s="318" t="s">
        <v>1671</v>
      </c>
      <c r="F347" s="318" t="s">
        <v>2668</v>
      </c>
      <c r="G347" s="318">
        <v>24.761222</v>
      </c>
      <c r="H347">
        <v>46.647388999999997</v>
      </c>
    </row>
    <row r="348" spans="1:8">
      <c r="A348" s="59">
        <v>347</v>
      </c>
      <c r="B348" s="318" t="s">
        <v>1219</v>
      </c>
      <c r="C348" s="317" t="s">
        <v>1224</v>
      </c>
      <c r="D348" s="318" t="s">
        <v>1225</v>
      </c>
      <c r="E348" s="318" t="s">
        <v>1671</v>
      </c>
      <c r="F348" s="318" t="s">
        <v>2669</v>
      </c>
      <c r="G348" s="318">
        <v>24.760719999999999</v>
      </c>
      <c r="H348">
        <v>46.647150000000003</v>
      </c>
    </row>
    <row r="349" spans="1:8">
      <c r="A349" s="59">
        <v>348</v>
      </c>
      <c r="B349" s="318" t="s">
        <v>1219</v>
      </c>
      <c r="C349" s="317" t="s">
        <v>1226</v>
      </c>
      <c r="D349" s="318" t="s">
        <v>1227</v>
      </c>
      <c r="E349" s="318" t="s">
        <v>1671</v>
      </c>
      <c r="F349" s="318" t="s">
        <v>2670</v>
      </c>
      <c r="G349" s="318">
        <v>24.760769</v>
      </c>
      <c r="H349">
        <v>46.647447</v>
      </c>
    </row>
    <row r="350" spans="1:8">
      <c r="A350" s="59">
        <v>349</v>
      </c>
      <c r="B350" s="318" t="s">
        <v>1228</v>
      </c>
      <c r="C350" s="318" t="s">
        <v>1229</v>
      </c>
      <c r="D350" s="318" t="s">
        <v>146</v>
      </c>
      <c r="E350" s="318" t="s">
        <v>95</v>
      </c>
      <c r="F350" s="318" t="s">
        <v>2671</v>
      </c>
      <c r="G350" s="318">
        <v>24.761475000000001</v>
      </c>
      <c r="H350">
        <v>46.650784000000002</v>
      </c>
    </row>
    <row r="351" spans="1:8">
      <c r="A351" s="59">
        <v>350</v>
      </c>
      <c r="B351" s="318" t="s">
        <v>1228</v>
      </c>
      <c r="C351" s="317" t="s">
        <v>1230</v>
      </c>
      <c r="D351" s="318" t="s">
        <v>1231</v>
      </c>
      <c r="E351" s="318" t="s">
        <v>95</v>
      </c>
      <c r="F351" s="317" t="s">
        <v>2672</v>
      </c>
      <c r="G351" s="317">
        <v>24.761444000000001</v>
      </c>
      <c r="H351">
        <v>46.651055999999997</v>
      </c>
    </row>
    <row r="352" spans="1:8">
      <c r="A352" s="59">
        <v>351</v>
      </c>
      <c r="B352" s="318" t="s">
        <v>1228</v>
      </c>
      <c r="C352" s="317" t="s">
        <v>1232</v>
      </c>
      <c r="D352" s="318" t="s">
        <v>1233</v>
      </c>
      <c r="E352" s="318" t="s">
        <v>95</v>
      </c>
      <c r="F352" s="318" t="s">
        <v>2673</v>
      </c>
      <c r="G352" s="318">
        <v>24.76211</v>
      </c>
      <c r="H352">
        <v>46.650531999999998</v>
      </c>
    </row>
    <row r="353" spans="1:8">
      <c r="A353" s="59">
        <v>352</v>
      </c>
      <c r="B353" s="318" t="s">
        <v>1228</v>
      </c>
      <c r="C353" s="317" t="s">
        <v>1234</v>
      </c>
      <c r="D353" s="318" t="s">
        <v>1235</v>
      </c>
      <c r="E353" s="318" t="s">
        <v>95</v>
      </c>
      <c r="F353" s="318" t="s">
        <v>2674</v>
      </c>
      <c r="G353" s="318">
        <v>24.762566</v>
      </c>
      <c r="H353">
        <v>46.650303000000001</v>
      </c>
    </row>
    <row r="354" spans="1:8">
      <c r="A354" s="59">
        <v>353</v>
      </c>
      <c r="B354" s="318" t="s">
        <v>1228</v>
      </c>
      <c r="C354" s="317" t="s">
        <v>1236</v>
      </c>
      <c r="D354" s="318" t="s">
        <v>1237</v>
      </c>
      <c r="E354" s="318" t="s">
        <v>95</v>
      </c>
      <c r="F354" s="318" t="s">
        <v>2675</v>
      </c>
      <c r="G354" s="318">
        <v>24.761158999999999</v>
      </c>
      <c r="H354">
        <v>46.650995999999999</v>
      </c>
    </row>
    <row r="355" spans="1:8">
      <c r="A355" s="59">
        <v>354</v>
      </c>
      <c r="B355" s="318" t="s">
        <v>1238</v>
      </c>
      <c r="C355" s="318" t="s">
        <v>1239</v>
      </c>
      <c r="D355" s="318" t="s">
        <v>1240</v>
      </c>
      <c r="E355" s="318" t="s">
        <v>96</v>
      </c>
      <c r="F355" s="318" t="s">
        <v>2676</v>
      </c>
      <c r="G355" s="318">
        <v>24.680266</v>
      </c>
      <c r="H355">
        <v>46.691729000000002</v>
      </c>
    </row>
    <row r="356" spans="1:8">
      <c r="A356" s="59">
        <v>355</v>
      </c>
      <c r="B356" s="318" t="s">
        <v>1238</v>
      </c>
      <c r="C356" s="317" t="s">
        <v>1241</v>
      </c>
      <c r="D356" s="318" t="s">
        <v>1242</v>
      </c>
      <c r="E356" s="318" t="s">
        <v>96</v>
      </c>
      <c r="F356" s="318" t="s">
        <v>2677</v>
      </c>
      <c r="G356" s="318">
        <v>24.680309999999999</v>
      </c>
      <c r="H356">
        <v>46.691685999999997</v>
      </c>
    </row>
    <row r="357" spans="1:8">
      <c r="A357" s="59">
        <v>356</v>
      </c>
      <c r="B357" s="318" t="s">
        <v>1238</v>
      </c>
      <c r="C357" s="317" t="s">
        <v>1243</v>
      </c>
      <c r="D357" s="318" t="s">
        <v>1244</v>
      </c>
      <c r="E357" s="318" t="s">
        <v>96</v>
      </c>
      <c r="F357" s="318" t="s">
        <v>2678</v>
      </c>
      <c r="G357" s="318">
        <v>24.680219000000001</v>
      </c>
      <c r="H357">
        <v>46.692509999999999</v>
      </c>
    </row>
    <row r="358" spans="1:8">
      <c r="A358" s="59">
        <v>357</v>
      </c>
      <c r="B358" s="317" t="s">
        <v>1245</v>
      </c>
      <c r="C358" s="318" t="s">
        <v>1246</v>
      </c>
      <c r="D358" s="317" t="s">
        <v>1247</v>
      </c>
      <c r="E358" s="317" t="s">
        <v>97</v>
      </c>
      <c r="F358" s="318" t="s">
        <v>2679</v>
      </c>
      <c r="G358" s="318">
        <v>24.712596999999999</v>
      </c>
      <c r="H358">
        <v>46.671576999999999</v>
      </c>
    </row>
    <row r="359" spans="1:8">
      <c r="A359" s="59">
        <v>358</v>
      </c>
      <c r="B359" s="317" t="s">
        <v>1245</v>
      </c>
      <c r="C359" s="317" t="s">
        <v>1248</v>
      </c>
      <c r="D359" s="317" t="s">
        <v>1249</v>
      </c>
      <c r="E359" s="317" t="s">
        <v>97</v>
      </c>
      <c r="F359" s="317">
        <v>24.712779466714601</v>
      </c>
      <c r="G359" s="317">
        <v>24.712779000000001</v>
      </c>
      <c r="H359">
        <v>46671464</v>
      </c>
    </row>
    <row r="360" spans="1:8">
      <c r="A360" s="59">
        <v>359</v>
      </c>
      <c r="B360" s="317" t="s">
        <v>1245</v>
      </c>
      <c r="C360" s="317" t="s">
        <v>1250</v>
      </c>
      <c r="D360" s="317" t="s">
        <v>1251</v>
      </c>
      <c r="E360" s="317" t="s">
        <v>97</v>
      </c>
      <c r="F360" s="317" t="s">
        <v>2680</v>
      </c>
      <c r="G360" s="317">
        <v>24.712745000000002</v>
      </c>
      <c r="H360">
        <v>46.671802</v>
      </c>
    </row>
    <row r="361" spans="1:8">
      <c r="A361" s="59">
        <v>360</v>
      </c>
      <c r="B361" s="318" t="s">
        <v>1252</v>
      </c>
      <c r="C361" s="317" t="s">
        <v>1253</v>
      </c>
      <c r="D361" s="318" t="s">
        <v>1254</v>
      </c>
      <c r="E361" s="318" t="s">
        <v>53</v>
      </c>
      <c r="F361" s="318" t="s">
        <v>2681</v>
      </c>
      <c r="G361" s="318">
        <v>24.683322</v>
      </c>
      <c r="H361">
        <v>46.699219999999997</v>
      </c>
    </row>
    <row r="362" spans="1:8">
      <c r="A362" s="59">
        <v>361</v>
      </c>
      <c r="B362" s="318" t="s">
        <v>1252</v>
      </c>
      <c r="C362" s="317" t="s">
        <v>1255</v>
      </c>
      <c r="D362" s="318" t="s">
        <v>1256</v>
      </c>
      <c r="E362" s="318" t="s">
        <v>53</v>
      </c>
      <c r="F362" s="318" t="s">
        <v>2682</v>
      </c>
      <c r="G362" s="318">
        <v>24.683634999999999</v>
      </c>
      <c r="H362">
        <v>46.699922999999998</v>
      </c>
    </row>
    <row r="363" spans="1:8">
      <c r="A363" s="59">
        <v>362</v>
      </c>
      <c r="B363" s="318" t="s">
        <v>1252</v>
      </c>
      <c r="C363" s="317" t="s">
        <v>1257</v>
      </c>
      <c r="D363" s="318" t="s">
        <v>1258</v>
      </c>
      <c r="E363" s="318" t="s">
        <v>53</v>
      </c>
      <c r="F363" s="318" t="s">
        <v>2683</v>
      </c>
      <c r="G363" s="318">
        <v>24.68318</v>
      </c>
      <c r="H363">
        <v>46.699392000000003</v>
      </c>
    </row>
    <row r="364" spans="1:8">
      <c r="A364" s="59">
        <v>363</v>
      </c>
      <c r="B364" s="318" t="s">
        <v>1252</v>
      </c>
      <c r="C364" s="317" t="s">
        <v>1259</v>
      </c>
      <c r="D364" s="318" t="s">
        <v>1260</v>
      </c>
      <c r="E364" s="318" t="s">
        <v>53</v>
      </c>
      <c r="F364" s="318" t="s">
        <v>2684</v>
      </c>
      <c r="G364" s="318">
        <v>24.683658699999999</v>
      </c>
      <c r="H364">
        <v>46.699738699999997</v>
      </c>
    </row>
    <row r="365" spans="1:8">
      <c r="A365" s="59">
        <v>364</v>
      </c>
      <c r="B365" s="318" t="s">
        <v>1261</v>
      </c>
      <c r="C365" s="318" t="s">
        <v>2310</v>
      </c>
      <c r="D365" s="318" t="s">
        <v>122</v>
      </c>
      <c r="E365" s="318" t="s">
        <v>49</v>
      </c>
      <c r="F365" s="321" t="s">
        <v>2685</v>
      </c>
      <c r="G365" s="321">
        <v>24.710882000000002</v>
      </c>
      <c r="H365">
        <v>46.755707999999998</v>
      </c>
    </row>
    <row r="366" spans="1:8">
      <c r="A366" s="59">
        <v>365</v>
      </c>
      <c r="B366" s="318" t="s">
        <v>1263</v>
      </c>
      <c r="C366" s="318" t="s">
        <v>2311</v>
      </c>
      <c r="D366" s="318" t="s">
        <v>134</v>
      </c>
      <c r="E366" s="318" t="s">
        <v>8</v>
      </c>
      <c r="F366" s="318" t="s">
        <v>2686</v>
      </c>
      <c r="G366" s="318">
        <v>24.793907000000001</v>
      </c>
      <c r="H366">
        <v>46.630555999999999</v>
      </c>
    </row>
    <row r="367" spans="1:8">
      <c r="A367" s="59">
        <v>366</v>
      </c>
      <c r="B367" s="318" t="s">
        <v>1263</v>
      </c>
      <c r="C367" s="318" t="s">
        <v>2312</v>
      </c>
      <c r="D367" s="318" t="s">
        <v>1266</v>
      </c>
      <c r="E367" s="318" t="s">
        <v>8</v>
      </c>
      <c r="F367" s="318" t="s">
        <v>2687</v>
      </c>
      <c r="G367" s="318">
        <v>24.793707000000001</v>
      </c>
      <c r="H367">
        <v>46.630882</v>
      </c>
    </row>
    <row r="368" spans="1:8">
      <c r="A368" s="59">
        <v>367</v>
      </c>
      <c r="B368" s="318" t="s">
        <v>1263</v>
      </c>
      <c r="C368" s="318" t="s">
        <v>2313</v>
      </c>
      <c r="D368" s="318" t="s">
        <v>1268</v>
      </c>
      <c r="E368" s="318" t="s">
        <v>8</v>
      </c>
      <c r="F368" s="318" t="s">
        <v>2688</v>
      </c>
      <c r="G368" s="318">
        <v>24.794456</v>
      </c>
      <c r="H368">
        <v>46.630526000000003</v>
      </c>
    </row>
    <row r="369" spans="1:8">
      <c r="A369" s="59">
        <v>368</v>
      </c>
      <c r="B369" s="318" t="s">
        <v>1263</v>
      </c>
      <c r="C369" s="318" t="s">
        <v>2314</v>
      </c>
      <c r="D369" s="318" t="s">
        <v>1270</v>
      </c>
      <c r="E369" s="318" t="s">
        <v>8</v>
      </c>
      <c r="F369" s="318" t="s">
        <v>2689</v>
      </c>
      <c r="G369" s="318">
        <v>24.794041</v>
      </c>
      <c r="H369">
        <v>46.630346000000003</v>
      </c>
    </row>
    <row r="370" spans="1:8">
      <c r="A370" s="59">
        <v>369</v>
      </c>
      <c r="B370" s="318" t="s">
        <v>1271</v>
      </c>
      <c r="C370" s="318" t="s">
        <v>1272</v>
      </c>
      <c r="D370" s="318" t="s">
        <v>142</v>
      </c>
      <c r="E370" s="318" t="s">
        <v>1672</v>
      </c>
      <c r="F370" s="318" t="s">
        <v>2690</v>
      </c>
      <c r="G370" s="318">
        <v>24.780598999999999</v>
      </c>
      <c r="H370">
        <v>46.706415</v>
      </c>
    </row>
    <row r="371" spans="1:8">
      <c r="A371" s="59">
        <v>370</v>
      </c>
      <c r="B371" s="318" t="s">
        <v>1271</v>
      </c>
      <c r="C371" s="318" t="s">
        <v>1273</v>
      </c>
      <c r="D371" s="318" t="s">
        <v>1274</v>
      </c>
      <c r="E371" s="318" t="s">
        <v>1672</v>
      </c>
      <c r="F371" s="318" t="s">
        <v>2691</v>
      </c>
      <c r="G371" s="318">
        <v>24.780249999999999</v>
      </c>
      <c r="H371">
        <v>46.706958999999998</v>
      </c>
    </row>
    <row r="372" spans="1:8">
      <c r="A372" s="59">
        <v>371</v>
      </c>
      <c r="B372" s="318" t="s">
        <v>1275</v>
      </c>
      <c r="C372" s="318" t="s">
        <v>1276</v>
      </c>
      <c r="D372" s="318" t="s">
        <v>1277</v>
      </c>
      <c r="E372" s="318" t="s">
        <v>1673</v>
      </c>
      <c r="F372" s="318" t="s">
        <v>2692</v>
      </c>
      <c r="G372" s="318">
        <v>24.799825999999999</v>
      </c>
      <c r="H372">
        <v>46.740127000000001</v>
      </c>
    </row>
    <row r="373" spans="1:8">
      <c r="A373" s="59">
        <v>372</v>
      </c>
      <c r="B373" s="318" t="s">
        <v>1275</v>
      </c>
      <c r="C373" s="318" t="s">
        <v>1278</v>
      </c>
      <c r="D373" s="318" t="s">
        <v>1279</v>
      </c>
      <c r="E373" s="318" t="s">
        <v>1673</v>
      </c>
      <c r="F373" s="318" t="s">
        <v>2693</v>
      </c>
      <c r="G373" s="318">
        <v>24.800260000000002</v>
      </c>
      <c r="H373">
        <v>46.739953</v>
      </c>
    </row>
    <row r="374" spans="1:8">
      <c r="A374" s="59">
        <v>373</v>
      </c>
      <c r="B374" s="318" t="s">
        <v>1280</v>
      </c>
      <c r="C374" s="318" t="s">
        <v>1281</v>
      </c>
      <c r="D374" s="318" t="s">
        <v>1282</v>
      </c>
      <c r="E374" s="318" t="s">
        <v>1674</v>
      </c>
      <c r="F374" s="318" t="s">
        <v>2694</v>
      </c>
      <c r="G374" s="318">
        <v>24.809785000000002</v>
      </c>
      <c r="H374">
        <v>46.622732999999997</v>
      </c>
    </row>
    <row r="375" spans="1:8">
      <c r="A375" s="59">
        <v>374</v>
      </c>
      <c r="B375" s="317" t="s">
        <v>1283</v>
      </c>
      <c r="C375" s="317" t="s">
        <v>1284</v>
      </c>
      <c r="D375" s="317" t="s">
        <v>1285</v>
      </c>
      <c r="E375" s="317" t="s">
        <v>1675</v>
      </c>
      <c r="F375" s="317" t="s">
        <v>2695</v>
      </c>
      <c r="G375" s="317">
        <v>24.759513999999999</v>
      </c>
      <c r="H375">
        <v>46.738712999999997</v>
      </c>
    </row>
    <row r="376" spans="1:8">
      <c r="A376" s="59">
        <v>375</v>
      </c>
      <c r="B376" s="317" t="s">
        <v>1283</v>
      </c>
      <c r="C376" s="317" t="s">
        <v>1286</v>
      </c>
      <c r="D376" s="317" t="s">
        <v>1287</v>
      </c>
      <c r="E376" s="317" t="s">
        <v>1675</v>
      </c>
      <c r="F376" s="317" t="s">
        <v>2696</v>
      </c>
      <c r="G376" s="317">
        <v>24.760133</v>
      </c>
      <c r="H376">
        <v>46.738965</v>
      </c>
    </row>
    <row r="377" spans="1:8">
      <c r="A377" s="59">
        <v>376</v>
      </c>
      <c r="B377" s="317" t="s">
        <v>1288</v>
      </c>
      <c r="C377" s="318" t="s">
        <v>2315</v>
      </c>
      <c r="D377" s="317" t="s">
        <v>173</v>
      </c>
      <c r="E377" s="317" t="s">
        <v>34</v>
      </c>
      <c r="F377" s="318" t="s">
        <v>2697</v>
      </c>
      <c r="G377" s="318">
        <v>24.762104999999998</v>
      </c>
      <c r="H377">
        <v>46.744615000000003</v>
      </c>
    </row>
    <row r="378" spans="1:8">
      <c r="A378" s="59">
        <v>377</v>
      </c>
      <c r="B378" s="317" t="s">
        <v>1288</v>
      </c>
      <c r="C378" s="317" t="s">
        <v>2316</v>
      </c>
      <c r="D378" s="317" t="s">
        <v>174</v>
      </c>
      <c r="E378" s="317" t="s">
        <v>34</v>
      </c>
      <c r="F378" s="317" t="s">
        <v>2698</v>
      </c>
      <c r="G378" s="317">
        <v>24.762305000000001</v>
      </c>
      <c r="H378">
        <v>46.744498999999998</v>
      </c>
    </row>
    <row r="379" spans="1:8">
      <c r="A379" s="59">
        <v>378</v>
      </c>
      <c r="B379" s="317" t="s">
        <v>1288</v>
      </c>
      <c r="C379" s="317" t="s">
        <v>2317</v>
      </c>
      <c r="D379" s="317" t="s">
        <v>1292</v>
      </c>
      <c r="E379" s="317" t="s">
        <v>34</v>
      </c>
      <c r="F379" s="317" t="s">
        <v>2699</v>
      </c>
      <c r="G379" s="317">
        <v>24.761948</v>
      </c>
      <c r="H379">
        <v>46.744300000000003</v>
      </c>
    </row>
    <row r="380" spans="1:8">
      <c r="A380" s="59">
        <v>379</v>
      </c>
      <c r="B380" s="317" t="s">
        <v>1293</v>
      </c>
      <c r="C380" s="317" t="s">
        <v>2318</v>
      </c>
      <c r="D380" s="317" t="s">
        <v>1295</v>
      </c>
      <c r="E380" s="317" t="s">
        <v>1676</v>
      </c>
      <c r="F380" s="317" t="s">
        <v>2700</v>
      </c>
      <c r="G380" s="317">
        <v>24.75675</v>
      </c>
      <c r="H380">
        <v>46.731453000000002</v>
      </c>
    </row>
    <row r="381" spans="1:8">
      <c r="A381" s="59">
        <v>380</v>
      </c>
      <c r="B381" s="317" t="s">
        <v>1293</v>
      </c>
      <c r="C381" s="317" t="s">
        <v>2319</v>
      </c>
      <c r="D381" s="317" t="s">
        <v>1297</v>
      </c>
      <c r="E381" s="317" t="s">
        <v>1676</v>
      </c>
      <c r="F381" s="317" t="s">
        <v>2701</v>
      </c>
      <c r="G381" s="317">
        <v>24.756405999999998</v>
      </c>
      <c r="H381">
        <v>46.731344</v>
      </c>
    </row>
    <row r="382" spans="1:8">
      <c r="A382" s="59">
        <v>381</v>
      </c>
      <c r="B382" s="318" t="s">
        <v>1298</v>
      </c>
      <c r="C382" s="318" t="s">
        <v>1299</v>
      </c>
      <c r="D382" s="318" t="s">
        <v>1300</v>
      </c>
      <c r="E382" s="318" t="s">
        <v>98</v>
      </c>
      <c r="F382" s="318" t="s">
        <v>2702</v>
      </c>
      <c r="G382" s="318">
        <v>24.753474000000001</v>
      </c>
      <c r="H382">
        <v>46.676411999999999</v>
      </c>
    </row>
    <row r="383" spans="1:8">
      <c r="A383" s="59">
        <v>382</v>
      </c>
      <c r="B383" s="318" t="s">
        <v>1298</v>
      </c>
      <c r="C383" s="317" t="s">
        <v>1301</v>
      </c>
      <c r="D383" s="318" t="s">
        <v>1302</v>
      </c>
      <c r="E383" s="318" t="s">
        <v>98</v>
      </c>
      <c r="F383" s="317" t="s">
        <v>2703</v>
      </c>
      <c r="G383" s="317">
        <v>24.753616999999998</v>
      </c>
      <c r="H383">
        <v>46.676758</v>
      </c>
    </row>
    <row r="384" spans="1:8">
      <c r="A384" s="59">
        <v>383</v>
      </c>
      <c r="B384" s="318" t="s">
        <v>1298</v>
      </c>
      <c r="C384" s="317" t="s">
        <v>1303</v>
      </c>
      <c r="D384" s="318" t="s">
        <v>1304</v>
      </c>
      <c r="E384" s="318" t="s">
        <v>98</v>
      </c>
      <c r="F384" s="317" t="s">
        <v>2704</v>
      </c>
      <c r="G384" s="317">
        <v>24.753419999999998</v>
      </c>
      <c r="H384">
        <v>46.676780000000001</v>
      </c>
    </row>
    <row r="385" spans="1:8">
      <c r="A385" s="59">
        <v>384</v>
      </c>
      <c r="B385" s="318" t="s">
        <v>1298</v>
      </c>
      <c r="C385" s="317" t="s">
        <v>1305</v>
      </c>
      <c r="D385" s="318" t="s">
        <v>1306</v>
      </c>
      <c r="E385" s="318" t="s">
        <v>98</v>
      </c>
      <c r="F385" s="317" t="s">
        <v>2705</v>
      </c>
      <c r="G385" s="317">
        <v>24.753512000000001</v>
      </c>
      <c r="H385">
        <v>46.676464000000003</v>
      </c>
    </row>
    <row r="386" spans="1:8">
      <c r="A386" s="59">
        <v>385</v>
      </c>
      <c r="B386" s="318" t="s">
        <v>1298</v>
      </c>
      <c r="C386" s="317" t="s">
        <v>1307</v>
      </c>
      <c r="D386" s="318" t="s">
        <v>1308</v>
      </c>
      <c r="E386" s="318" t="s">
        <v>2236</v>
      </c>
      <c r="F386" s="317" t="s">
        <v>2706</v>
      </c>
      <c r="G386" s="317">
        <v>24.753361999999999</v>
      </c>
      <c r="H386">
        <v>46.676748000000003</v>
      </c>
    </row>
    <row r="387" spans="1:8">
      <c r="A387" s="59">
        <v>386</v>
      </c>
      <c r="B387" s="318" t="s">
        <v>1309</v>
      </c>
      <c r="C387" s="318" t="s">
        <v>1310</v>
      </c>
      <c r="D387" s="317" t="s">
        <v>1311</v>
      </c>
      <c r="E387" s="317" t="s">
        <v>22</v>
      </c>
      <c r="F387" s="318" t="s">
        <v>2707</v>
      </c>
      <c r="G387" s="318">
        <v>24.678930999999999</v>
      </c>
      <c r="H387">
        <v>46.688555000000001</v>
      </c>
    </row>
    <row r="388" spans="1:8">
      <c r="A388" s="59">
        <v>387</v>
      </c>
      <c r="B388" s="318" t="s">
        <v>1309</v>
      </c>
      <c r="C388" s="318" t="s">
        <v>1312</v>
      </c>
      <c r="D388" s="317" t="s">
        <v>1313</v>
      </c>
      <c r="E388" s="317" t="s">
        <v>22</v>
      </c>
      <c r="F388" s="317" t="s">
        <v>2708</v>
      </c>
      <c r="G388" s="317">
        <v>24.678639</v>
      </c>
      <c r="H388">
        <v>46.687851999999999</v>
      </c>
    </row>
    <row r="389" spans="1:8">
      <c r="A389" s="59">
        <v>388</v>
      </c>
      <c r="B389" s="318" t="s">
        <v>1314</v>
      </c>
      <c r="C389" s="318" t="s">
        <v>1315</v>
      </c>
      <c r="D389" s="318" t="s">
        <v>121</v>
      </c>
      <c r="E389" s="318" t="s">
        <v>27</v>
      </c>
      <c r="F389" s="318" t="s">
        <v>2709</v>
      </c>
      <c r="G389" s="318">
        <v>24.826447000000002</v>
      </c>
      <c r="H389">
        <v>46.614376999999998</v>
      </c>
    </row>
    <row r="390" spans="1:8">
      <c r="A390" s="59">
        <v>389</v>
      </c>
      <c r="B390" s="318" t="s">
        <v>1316</v>
      </c>
      <c r="C390" s="318" t="s">
        <v>1317</v>
      </c>
      <c r="D390" s="318" t="s">
        <v>171</v>
      </c>
      <c r="E390" s="318" t="s">
        <v>15</v>
      </c>
      <c r="F390" s="321" t="s">
        <v>2710</v>
      </c>
      <c r="G390" s="321">
        <v>24.679366000000002</v>
      </c>
      <c r="H390">
        <v>46.777790000000003</v>
      </c>
    </row>
    <row r="391" spans="1:8">
      <c r="A391" s="59">
        <v>390</v>
      </c>
      <c r="B391" s="318" t="s">
        <v>1316</v>
      </c>
      <c r="C391" s="318" t="s">
        <v>1318</v>
      </c>
      <c r="D391" s="318" t="s">
        <v>1319</v>
      </c>
      <c r="E391" s="318" t="s">
        <v>15</v>
      </c>
      <c r="F391" s="321" t="s">
        <v>2711</v>
      </c>
      <c r="G391" s="321">
        <v>24.679705999999999</v>
      </c>
      <c r="H391">
        <v>46.777802999999999</v>
      </c>
    </row>
    <row r="392" spans="1:8">
      <c r="A392" s="59">
        <v>391</v>
      </c>
      <c r="B392" s="318" t="s">
        <v>1316</v>
      </c>
      <c r="C392" s="318" t="s">
        <v>1320</v>
      </c>
      <c r="D392" s="318" t="s">
        <v>1321</v>
      </c>
      <c r="E392" s="318" t="s">
        <v>15</v>
      </c>
      <c r="F392" s="321" t="s">
        <v>2712</v>
      </c>
      <c r="G392" s="321">
        <v>24.679917</v>
      </c>
      <c r="H392">
        <v>46.777749999999997</v>
      </c>
    </row>
    <row r="393" spans="1:8">
      <c r="A393" s="59">
        <v>392</v>
      </c>
      <c r="B393" s="318" t="s">
        <v>1316</v>
      </c>
      <c r="C393" s="318" t="s">
        <v>1322</v>
      </c>
      <c r="D393" s="318" t="s">
        <v>1323</v>
      </c>
      <c r="E393" s="318" t="s">
        <v>15</v>
      </c>
      <c r="F393" s="321" t="s">
        <v>2713</v>
      </c>
      <c r="G393" s="321">
        <v>24.679302</v>
      </c>
      <c r="H393">
        <v>46.777357000000002</v>
      </c>
    </row>
    <row r="394" spans="1:8">
      <c r="A394" s="59">
        <v>393</v>
      </c>
      <c r="B394" s="320" t="s">
        <v>1324</v>
      </c>
      <c r="C394" s="318" t="s">
        <v>1325</v>
      </c>
      <c r="D394" s="318" t="s">
        <v>112</v>
      </c>
      <c r="E394" s="318" t="s">
        <v>2</v>
      </c>
      <c r="F394" s="321" t="s">
        <v>2714</v>
      </c>
      <c r="G394" s="321">
        <v>24.694485</v>
      </c>
      <c r="H394">
        <v>46.773747999999998</v>
      </c>
    </row>
    <row r="395" spans="1:8">
      <c r="A395" s="59">
        <v>394</v>
      </c>
      <c r="B395" s="320" t="s">
        <v>1324</v>
      </c>
      <c r="C395" s="318" t="s">
        <v>1326</v>
      </c>
      <c r="D395" s="318" t="s">
        <v>1327</v>
      </c>
      <c r="E395" s="318" t="s">
        <v>2</v>
      </c>
      <c r="F395" s="321" t="s">
        <v>2715</v>
      </c>
      <c r="G395" s="321">
        <v>24.694773999999999</v>
      </c>
      <c r="H395">
        <v>46.773181000000001</v>
      </c>
    </row>
    <row r="396" spans="1:8">
      <c r="A396" s="59">
        <v>395</v>
      </c>
      <c r="B396" s="318" t="s">
        <v>1328</v>
      </c>
      <c r="C396" s="318" t="s">
        <v>1329</v>
      </c>
      <c r="D396" s="318" t="s">
        <v>107</v>
      </c>
      <c r="E396" s="318" t="s">
        <v>13</v>
      </c>
      <c r="F396" s="321" t="s">
        <v>2716</v>
      </c>
      <c r="G396" s="321">
        <v>24.653227999999999</v>
      </c>
      <c r="H396">
        <v>46.792333999999997</v>
      </c>
    </row>
    <row r="397" spans="1:8">
      <c r="A397" s="59">
        <v>396</v>
      </c>
      <c r="B397" s="318" t="s">
        <v>1328</v>
      </c>
      <c r="C397" s="318" t="s">
        <v>1330</v>
      </c>
      <c r="D397" s="318" t="s">
        <v>1331</v>
      </c>
      <c r="E397" s="318" t="s">
        <v>13</v>
      </c>
      <c r="F397" s="321" t="s">
        <v>2717</v>
      </c>
      <c r="G397" s="321">
        <v>24.653805999999999</v>
      </c>
      <c r="H397">
        <v>46.792028000000002</v>
      </c>
    </row>
    <row r="398" spans="1:8">
      <c r="A398" s="59">
        <v>397</v>
      </c>
      <c r="B398" s="318" t="s">
        <v>1328</v>
      </c>
      <c r="C398" s="318" t="s">
        <v>1332</v>
      </c>
      <c r="D398" s="318" t="s">
        <v>1333</v>
      </c>
      <c r="E398" s="318" t="s">
        <v>13</v>
      </c>
      <c r="F398" s="321" t="s">
        <v>2718</v>
      </c>
      <c r="G398" s="321">
        <v>24.653099000000001</v>
      </c>
      <c r="H398">
        <v>46.791901000000003</v>
      </c>
    </row>
    <row r="399" spans="1:8">
      <c r="A399" s="59">
        <v>398</v>
      </c>
      <c r="B399" s="318" t="s">
        <v>1328</v>
      </c>
      <c r="C399" s="318" t="s">
        <v>1334</v>
      </c>
      <c r="D399" s="318" t="s">
        <v>1335</v>
      </c>
      <c r="E399" s="318" t="s">
        <v>13</v>
      </c>
      <c r="F399" s="321" t="s">
        <v>2719</v>
      </c>
      <c r="G399" s="321">
        <v>24.653634</v>
      </c>
      <c r="H399">
        <v>46.792292000000003</v>
      </c>
    </row>
    <row r="400" spans="1:8">
      <c r="A400" s="59">
        <v>399</v>
      </c>
      <c r="B400" s="329" t="s">
        <v>1336</v>
      </c>
      <c r="C400" s="318" t="s">
        <v>2320</v>
      </c>
      <c r="D400" s="318" t="s">
        <v>1338</v>
      </c>
      <c r="E400" s="318" t="s">
        <v>1677</v>
      </c>
      <c r="F400" s="321" t="s">
        <v>2720</v>
      </c>
      <c r="G400" s="321">
        <v>24.721305000000001</v>
      </c>
      <c r="H400">
        <v>46.772993999999997</v>
      </c>
    </row>
    <row r="401" spans="1:8">
      <c r="A401" s="59">
        <v>400</v>
      </c>
      <c r="B401" s="329" t="s">
        <v>1336</v>
      </c>
      <c r="C401" s="318" t="s">
        <v>2321</v>
      </c>
      <c r="D401" s="318" t="s">
        <v>1340</v>
      </c>
      <c r="E401" s="318" t="s">
        <v>1677</v>
      </c>
      <c r="F401" s="321" t="s">
        <v>2721</v>
      </c>
      <c r="G401" s="321">
        <v>24.721585999999999</v>
      </c>
      <c r="H401">
        <v>46.773420000000002</v>
      </c>
    </row>
    <row r="402" spans="1:8">
      <c r="A402" s="59">
        <v>401</v>
      </c>
      <c r="B402" s="329" t="s">
        <v>1336</v>
      </c>
      <c r="C402" s="318" t="s">
        <v>2322</v>
      </c>
      <c r="D402" s="318" t="s">
        <v>1342</v>
      </c>
      <c r="E402" s="318" t="s">
        <v>1677</v>
      </c>
      <c r="F402" s="321" t="s">
        <v>2722</v>
      </c>
      <c r="G402" s="321">
        <v>24.721841999999999</v>
      </c>
      <c r="H402">
        <v>46.773240999999999</v>
      </c>
    </row>
    <row r="403" spans="1:8">
      <c r="A403" s="59">
        <v>402</v>
      </c>
      <c r="B403" s="329" t="s">
        <v>1336</v>
      </c>
      <c r="C403" s="318" t="s">
        <v>2323</v>
      </c>
      <c r="D403" s="318" t="s">
        <v>1344</v>
      </c>
      <c r="E403" s="318" t="s">
        <v>1677</v>
      </c>
      <c r="F403" s="321" t="s">
        <v>2723</v>
      </c>
      <c r="G403" s="321">
        <v>24.721655999999999</v>
      </c>
      <c r="H403">
        <v>46.772967000000001</v>
      </c>
    </row>
    <row r="404" spans="1:8">
      <c r="A404" s="59">
        <v>403</v>
      </c>
      <c r="B404" s="329" t="s">
        <v>1345</v>
      </c>
      <c r="C404" s="318" t="s">
        <v>2324</v>
      </c>
      <c r="D404" s="318" t="s">
        <v>138</v>
      </c>
      <c r="E404" s="318" t="s">
        <v>26</v>
      </c>
      <c r="F404" s="321" t="s">
        <v>2724</v>
      </c>
      <c r="G404" s="321">
        <v>24.720849000000001</v>
      </c>
      <c r="H404">
        <v>46.772208999999997</v>
      </c>
    </row>
    <row r="405" spans="1:8">
      <c r="A405" s="59">
        <v>404</v>
      </c>
      <c r="B405" s="329" t="s">
        <v>1345</v>
      </c>
      <c r="C405" s="318" t="s">
        <v>2325</v>
      </c>
      <c r="D405" s="318" t="s">
        <v>1348</v>
      </c>
      <c r="E405" s="318" t="s">
        <v>26</v>
      </c>
      <c r="F405" s="321" t="s">
        <v>2725</v>
      </c>
      <c r="G405" s="321">
        <v>24.720669000000001</v>
      </c>
      <c r="H405">
        <v>46.771914000000002</v>
      </c>
    </row>
    <row r="406" spans="1:8">
      <c r="A406" s="59">
        <v>405</v>
      </c>
      <c r="B406" s="329" t="s">
        <v>1345</v>
      </c>
      <c r="C406" s="318" t="s">
        <v>2326</v>
      </c>
      <c r="D406" s="318" t="s">
        <v>1350</v>
      </c>
      <c r="E406" s="318" t="s">
        <v>26</v>
      </c>
      <c r="F406" s="321" t="s">
        <v>2726</v>
      </c>
      <c r="G406" s="321">
        <v>24.721077999999999</v>
      </c>
      <c r="H406">
        <v>46.772030999999998</v>
      </c>
    </row>
    <row r="407" spans="1:8">
      <c r="A407" s="59">
        <v>406</v>
      </c>
      <c r="B407" s="329" t="s">
        <v>1345</v>
      </c>
      <c r="C407" s="318" t="s">
        <v>2327</v>
      </c>
      <c r="D407" s="318" t="s">
        <v>1352</v>
      </c>
      <c r="E407" s="318" t="s">
        <v>26</v>
      </c>
      <c r="F407" s="321" t="s">
        <v>2727</v>
      </c>
      <c r="G407" s="321">
        <v>24.720894999999999</v>
      </c>
      <c r="H407">
        <v>46.771754999999999</v>
      </c>
    </row>
    <row r="408" spans="1:8">
      <c r="A408" s="59">
        <v>407</v>
      </c>
      <c r="B408" s="318" t="s">
        <v>1353</v>
      </c>
      <c r="C408" s="318" t="s">
        <v>2328</v>
      </c>
      <c r="D408" s="318" t="s">
        <v>1355</v>
      </c>
      <c r="E408" s="318" t="s">
        <v>29</v>
      </c>
      <c r="F408" s="329" t="s">
        <v>2728</v>
      </c>
      <c r="G408" s="329">
        <v>24.729959999999998</v>
      </c>
      <c r="H408">
        <v>46.78678</v>
      </c>
    </row>
    <row r="409" spans="1:8">
      <c r="A409" s="59">
        <v>408</v>
      </c>
      <c r="B409" s="318" t="s">
        <v>1353</v>
      </c>
      <c r="C409" s="318" t="s">
        <v>2329</v>
      </c>
      <c r="D409" s="318" t="s">
        <v>1357</v>
      </c>
      <c r="E409" s="318" t="s">
        <v>29</v>
      </c>
      <c r="F409" s="329" t="s">
        <v>2729</v>
      </c>
      <c r="G409" s="329">
        <v>24.730577</v>
      </c>
      <c r="H409">
        <v>46.787266000000002</v>
      </c>
    </row>
    <row r="410" spans="1:8">
      <c r="A410" s="59">
        <v>409</v>
      </c>
      <c r="B410" s="318" t="s">
        <v>1353</v>
      </c>
      <c r="C410" s="318" t="s">
        <v>2330</v>
      </c>
      <c r="D410" s="318" t="s">
        <v>1359</v>
      </c>
      <c r="E410" s="318" t="s">
        <v>29</v>
      </c>
      <c r="F410" s="329" t="s">
        <v>2730</v>
      </c>
      <c r="G410" s="329">
        <v>24.730370000000001</v>
      </c>
      <c r="H410">
        <v>46.787363999999997</v>
      </c>
    </row>
    <row r="411" spans="1:8">
      <c r="A411" s="59">
        <v>410</v>
      </c>
      <c r="B411" s="318" t="s">
        <v>1353</v>
      </c>
      <c r="C411" s="318" t="s">
        <v>2331</v>
      </c>
      <c r="D411" s="318" t="s">
        <v>1361</v>
      </c>
      <c r="E411" s="318" t="s">
        <v>29</v>
      </c>
      <c r="F411" s="321" t="s">
        <v>2731</v>
      </c>
      <c r="G411" s="321">
        <v>24.730177000000001</v>
      </c>
      <c r="H411">
        <v>46.786583</v>
      </c>
    </row>
    <row r="412" spans="1:8">
      <c r="A412" s="59">
        <v>411</v>
      </c>
      <c r="B412" s="329" t="s">
        <v>1362</v>
      </c>
      <c r="C412" s="318" t="s">
        <v>2332</v>
      </c>
      <c r="D412" s="318" t="s">
        <v>137</v>
      </c>
      <c r="E412" s="318" t="s">
        <v>1678</v>
      </c>
      <c r="F412" s="321" t="s">
        <v>2732</v>
      </c>
      <c r="G412" s="321">
        <v>24.739539000000001</v>
      </c>
      <c r="H412">
        <v>46.802320000000002</v>
      </c>
    </row>
    <row r="413" spans="1:8">
      <c r="A413" s="59">
        <v>412</v>
      </c>
      <c r="B413" s="329" t="s">
        <v>1362</v>
      </c>
      <c r="C413" s="318" t="s">
        <v>2333</v>
      </c>
      <c r="D413" s="318" t="s">
        <v>1365</v>
      </c>
      <c r="E413" s="318" t="s">
        <v>1678</v>
      </c>
      <c r="F413" s="330" t="s">
        <v>2733</v>
      </c>
      <c r="G413" s="330">
        <v>24.739979999999999</v>
      </c>
      <c r="H413">
        <v>46.803041</v>
      </c>
    </row>
    <row r="414" spans="1:8">
      <c r="A414" s="59">
        <v>413</v>
      </c>
      <c r="B414" s="329" t="s">
        <v>1362</v>
      </c>
      <c r="C414" s="318" t="s">
        <v>2334</v>
      </c>
      <c r="D414" s="318" t="s">
        <v>1367</v>
      </c>
      <c r="E414" s="318" t="s">
        <v>1678</v>
      </c>
      <c r="F414" s="321" t="s">
        <v>2734</v>
      </c>
      <c r="G414" s="321">
        <v>24.740259999999999</v>
      </c>
      <c r="H414">
        <v>46.802940999999997</v>
      </c>
    </row>
    <row r="415" spans="1:8">
      <c r="A415" s="59">
        <v>414</v>
      </c>
      <c r="B415" s="329" t="s">
        <v>1362</v>
      </c>
      <c r="C415" s="318" t="s">
        <v>2335</v>
      </c>
      <c r="D415" s="318" t="s">
        <v>1369</v>
      </c>
      <c r="E415" s="318" t="s">
        <v>1678</v>
      </c>
      <c r="F415" s="321" t="s">
        <v>2735</v>
      </c>
      <c r="G415" s="321">
        <v>24.739923000000001</v>
      </c>
      <c r="H415">
        <v>46.802402000000001</v>
      </c>
    </row>
    <row r="416" spans="1:8">
      <c r="A416" s="59">
        <v>415</v>
      </c>
      <c r="B416" s="329" t="s">
        <v>1370</v>
      </c>
      <c r="C416" s="318" t="s">
        <v>2336</v>
      </c>
      <c r="D416" s="318" t="s">
        <v>1372</v>
      </c>
      <c r="E416" s="318" t="s">
        <v>18</v>
      </c>
      <c r="F416" s="321" t="s">
        <v>2736</v>
      </c>
      <c r="G416" s="321">
        <v>24.737841</v>
      </c>
      <c r="H416">
        <v>46.799501999999997</v>
      </c>
    </row>
    <row r="417" spans="1:8">
      <c r="A417" s="59">
        <v>416</v>
      </c>
      <c r="B417" s="329" t="s">
        <v>1370</v>
      </c>
      <c r="C417" s="318" t="s">
        <v>2337</v>
      </c>
      <c r="D417" s="318" t="s">
        <v>1374</v>
      </c>
      <c r="E417" s="318" t="s">
        <v>18</v>
      </c>
      <c r="F417" s="321" t="s">
        <v>2737</v>
      </c>
      <c r="G417" s="321">
        <v>24.738306000000001</v>
      </c>
      <c r="H417">
        <v>46.800277999999999</v>
      </c>
    </row>
    <row r="418" spans="1:8">
      <c r="A418" s="59">
        <v>417</v>
      </c>
      <c r="B418" s="329" t="s">
        <v>1370</v>
      </c>
      <c r="C418" s="318" t="s">
        <v>2338</v>
      </c>
      <c r="D418" s="318" t="s">
        <v>1376</v>
      </c>
      <c r="E418" s="318" t="s">
        <v>18</v>
      </c>
      <c r="F418" s="321" t="s">
        <v>2738</v>
      </c>
      <c r="G418" s="321">
        <v>24.738620999999998</v>
      </c>
      <c r="H418">
        <v>46.800114000000001</v>
      </c>
    </row>
    <row r="419" spans="1:8">
      <c r="A419" s="59">
        <v>418</v>
      </c>
      <c r="B419" s="329" t="s">
        <v>1370</v>
      </c>
      <c r="C419" s="318" t="s">
        <v>2339</v>
      </c>
      <c r="D419" s="318" t="s">
        <v>1378</v>
      </c>
      <c r="E419" s="318" t="s">
        <v>18</v>
      </c>
      <c r="F419" s="321" t="s">
        <v>2739</v>
      </c>
      <c r="G419" s="321">
        <v>24.738091000000001</v>
      </c>
      <c r="H419">
        <v>46.799340999999998</v>
      </c>
    </row>
    <row r="420" spans="1:8">
      <c r="A420" s="59">
        <v>419</v>
      </c>
      <c r="B420" s="329" t="s">
        <v>1379</v>
      </c>
      <c r="C420" s="318" t="s">
        <v>2340</v>
      </c>
      <c r="D420" s="318" t="s">
        <v>172</v>
      </c>
      <c r="E420" s="318" t="s">
        <v>1679</v>
      </c>
      <c r="F420" s="321" t="s">
        <v>2740</v>
      </c>
      <c r="G420" s="321">
        <v>24.750675000000001</v>
      </c>
      <c r="H420">
        <v>46.820261000000002</v>
      </c>
    </row>
    <row r="421" spans="1:8">
      <c r="A421" s="59">
        <v>420</v>
      </c>
      <c r="B421" s="329" t="s">
        <v>1379</v>
      </c>
      <c r="C421" s="318" t="s">
        <v>2341</v>
      </c>
      <c r="D421" s="318" t="s">
        <v>1382</v>
      </c>
      <c r="E421" s="318" t="s">
        <v>1679</v>
      </c>
      <c r="F421" s="321" t="s">
        <v>2741</v>
      </c>
      <c r="G421" s="321">
        <v>24.750471000000001</v>
      </c>
      <c r="H421">
        <v>46.819794999999999</v>
      </c>
    </row>
    <row r="422" spans="1:8">
      <c r="A422" s="59">
        <v>421</v>
      </c>
      <c r="B422" s="329" t="s">
        <v>1379</v>
      </c>
      <c r="C422" s="318" t="s">
        <v>2342</v>
      </c>
      <c r="D422" s="318" t="s">
        <v>1384</v>
      </c>
      <c r="E422" s="318" t="s">
        <v>1679</v>
      </c>
      <c r="F422" s="321" t="s">
        <v>2742</v>
      </c>
      <c r="G422" s="321">
        <v>24.750512000000001</v>
      </c>
      <c r="H422">
        <v>46.819313999999999</v>
      </c>
    </row>
    <row r="423" spans="1:8">
      <c r="A423" s="59">
        <v>422</v>
      </c>
      <c r="B423" s="329" t="s">
        <v>1379</v>
      </c>
      <c r="C423" s="318" t="s">
        <v>2343</v>
      </c>
      <c r="D423" s="318" t="s">
        <v>1386</v>
      </c>
      <c r="E423" s="318" t="s">
        <v>1679</v>
      </c>
      <c r="F423" s="321" t="s">
        <v>2743</v>
      </c>
      <c r="G423" s="321">
        <v>24.750955999999999</v>
      </c>
      <c r="H423">
        <v>46.820622999999998</v>
      </c>
    </row>
    <row r="424" spans="1:8">
      <c r="A424" s="59">
        <v>423</v>
      </c>
      <c r="B424" s="329" t="s">
        <v>1387</v>
      </c>
      <c r="C424" s="318" t="s">
        <v>2344</v>
      </c>
      <c r="D424" s="318" t="s">
        <v>1389</v>
      </c>
      <c r="E424" s="318" t="s">
        <v>43</v>
      </c>
      <c r="F424" s="321" t="s">
        <v>2744</v>
      </c>
      <c r="G424" s="321">
        <v>24.751194999999999</v>
      </c>
      <c r="H424">
        <v>46.820438000000003</v>
      </c>
    </row>
    <row r="425" spans="1:8">
      <c r="A425" s="59">
        <v>424</v>
      </c>
      <c r="B425" s="329" t="s">
        <v>1387</v>
      </c>
      <c r="C425" s="318" t="s">
        <v>2345</v>
      </c>
      <c r="D425" s="318" t="s">
        <v>1391</v>
      </c>
      <c r="E425" s="318" t="s">
        <v>43</v>
      </c>
      <c r="F425" s="321" t="s">
        <v>2745</v>
      </c>
      <c r="G425" s="321">
        <v>24.751014999999999</v>
      </c>
      <c r="H425">
        <v>46.820110999999997</v>
      </c>
    </row>
    <row r="426" spans="1:8">
      <c r="A426" s="59">
        <v>425</v>
      </c>
      <c r="B426" s="329" t="s">
        <v>1387</v>
      </c>
      <c r="C426" s="318" t="s">
        <v>2346</v>
      </c>
      <c r="D426" s="318" t="s">
        <v>1393</v>
      </c>
      <c r="E426" s="318" t="s">
        <v>43</v>
      </c>
      <c r="F426" s="321" t="s">
        <v>2746</v>
      </c>
      <c r="G426" s="321">
        <v>24.750717000000002</v>
      </c>
      <c r="H426">
        <v>46.819611999999999</v>
      </c>
    </row>
    <row r="427" spans="1:8">
      <c r="A427" s="59">
        <v>426</v>
      </c>
      <c r="B427" s="329" t="s">
        <v>1387</v>
      </c>
      <c r="C427" s="318" t="s">
        <v>2347</v>
      </c>
      <c r="D427" s="318" t="s">
        <v>1395</v>
      </c>
      <c r="E427" s="318" t="s">
        <v>43</v>
      </c>
      <c r="F427" s="321" t="s">
        <v>2747</v>
      </c>
      <c r="G427" s="321">
        <v>24.750281999999999</v>
      </c>
      <c r="H427">
        <v>46.819495000000003</v>
      </c>
    </row>
    <row r="428" spans="1:8">
      <c r="A428" s="59">
        <v>427</v>
      </c>
      <c r="B428" s="318" t="s">
        <v>1396</v>
      </c>
      <c r="C428" s="318" t="s">
        <v>1397</v>
      </c>
      <c r="D428" s="318" t="s">
        <v>163</v>
      </c>
      <c r="E428" s="318" t="s">
        <v>7</v>
      </c>
      <c r="F428" s="321" t="s">
        <v>2748</v>
      </c>
      <c r="G428" s="321">
        <v>24.592289000000001</v>
      </c>
      <c r="H428">
        <v>46.848833999999997</v>
      </c>
    </row>
    <row r="429" spans="1:8">
      <c r="A429" s="59">
        <v>428</v>
      </c>
      <c r="B429" s="318" t="s">
        <v>1396</v>
      </c>
      <c r="C429" s="318" t="s">
        <v>1398</v>
      </c>
      <c r="D429" s="318" t="s">
        <v>1399</v>
      </c>
      <c r="E429" s="318" t="s">
        <v>7</v>
      </c>
      <c r="F429" s="321" t="s">
        <v>2748</v>
      </c>
      <c r="G429" s="321">
        <v>24.592289000000001</v>
      </c>
      <c r="H429">
        <v>46.848833999999997</v>
      </c>
    </row>
    <row r="430" spans="1:8">
      <c r="A430" s="59">
        <v>429</v>
      </c>
      <c r="B430" s="318" t="s">
        <v>1396</v>
      </c>
      <c r="C430" s="318" t="s">
        <v>1400</v>
      </c>
      <c r="D430" s="318" t="s">
        <v>1401</v>
      </c>
      <c r="E430" s="318" t="s">
        <v>7</v>
      </c>
      <c r="F430" s="321" t="s">
        <v>2748</v>
      </c>
      <c r="G430" s="321">
        <v>24.592289000000001</v>
      </c>
      <c r="H430">
        <v>46.848833999999997</v>
      </c>
    </row>
    <row r="431" spans="1:8">
      <c r="A431" s="59">
        <v>430</v>
      </c>
      <c r="B431" s="318" t="s">
        <v>1396</v>
      </c>
      <c r="C431" s="318" t="s">
        <v>1402</v>
      </c>
      <c r="D431" s="318" t="s">
        <v>1403</v>
      </c>
      <c r="E431" s="318" t="s">
        <v>7</v>
      </c>
      <c r="F431" s="321" t="s">
        <v>2748</v>
      </c>
      <c r="G431" s="321">
        <v>24.592289000000001</v>
      </c>
      <c r="H431">
        <v>46.848833999999997</v>
      </c>
    </row>
    <row r="432" spans="1:8">
      <c r="A432" s="59">
        <v>431</v>
      </c>
      <c r="B432" s="318" t="s">
        <v>1404</v>
      </c>
      <c r="C432" s="318" t="s">
        <v>1405</v>
      </c>
      <c r="D432" s="318" t="s">
        <v>1406</v>
      </c>
      <c r="E432" s="318" t="s">
        <v>63</v>
      </c>
      <c r="F432" s="321" t="s">
        <v>2749</v>
      </c>
      <c r="G432" s="321">
        <v>24.777366000000001</v>
      </c>
      <c r="H432">
        <v>46.850729999999999</v>
      </c>
    </row>
    <row r="433" spans="1:8">
      <c r="A433" s="59">
        <v>432</v>
      </c>
      <c r="B433" s="318" t="s">
        <v>1407</v>
      </c>
      <c r="C433" s="318" t="s">
        <v>1408</v>
      </c>
      <c r="D433" s="318" t="s">
        <v>1409</v>
      </c>
      <c r="E433" s="318" t="s">
        <v>99</v>
      </c>
      <c r="F433" s="318" t="s">
        <v>2750</v>
      </c>
      <c r="G433" s="318">
        <v>24.787265999999999</v>
      </c>
      <c r="H433">
        <v>46.857981000000002</v>
      </c>
    </row>
    <row r="434" spans="1:8">
      <c r="A434" s="59">
        <v>433</v>
      </c>
      <c r="B434" s="318" t="s">
        <v>1410</v>
      </c>
      <c r="C434" s="318" t="s">
        <v>1411</v>
      </c>
      <c r="D434" s="318" t="s">
        <v>178</v>
      </c>
      <c r="E434" s="318" t="s">
        <v>14</v>
      </c>
      <c r="F434" s="321" t="s">
        <v>2751</v>
      </c>
      <c r="G434" s="321">
        <v>24.589051000000001</v>
      </c>
      <c r="H434">
        <v>46.855795000000001</v>
      </c>
    </row>
    <row r="435" spans="1:8">
      <c r="A435" s="59">
        <v>434</v>
      </c>
      <c r="B435" s="318" t="s">
        <v>1410</v>
      </c>
      <c r="C435" s="318" t="s">
        <v>1412</v>
      </c>
      <c r="D435" s="318" t="s">
        <v>1413</v>
      </c>
      <c r="E435" s="318" t="s">
        <v>14</v>
      </c>
      <c r="F435" s="321" t="s">
        <v>2752</v>
      </c>
      <c r="G435" s="321">
        <v>24.588965999999999</v>
      </c>
      <c r="H435">
        <v>46.856085</v>
      </c>
    </row>
    <row r="436" spans="1:8">
      <c r="A436" s="59">
        <v>435</v>
      </c>
      <c r="B436" s="318" t="s">
        <v>1410</v>
      </c>
      <c r="C436" s="318" t="s">
        <v>1414</v>
      </c>
      <c r="D436" s="318" t="s">
        <v>1415</v>
      </c>
      <c r="E436" s="318" t="s">
        <v>14</v>
      </c>
      <c r="F436" s="321" t="s">
        <v>2753</v>
      </c>
      <c r="G436" s="321">
        <v>24.589196999999999</v>
      </c>
      <c r="H436">
        <v>46.856150999999997</v>
      </c>
    </row>
    <row r="437" spans="1:8">
      <c r="A437" s="59">
        <v>436</v>
      </c>
      <c r="B437" s="318" t="s">
        <v>1410</v>
      </c>
      <c r="C437" s="318" t="s">
        <v>1416</v>
      </c>
      <c r="D437" s="318" t="s">
        <v>1417</v>
      </c>
      <c r="E437" s="318" t="s">
        <v>14</v>
      </c>
      <c r="F437" s="321" t="s">
        <v>2754</v>
      </c>
      <c r="G437" s="321">
        <v>24.589281</v>
      </c>
      <c r="H437">
        <v>46.855867000000003</v>
      </c>
    </row>
    <row r="438" spans="1:8">
      <c r="A438" s="59">
        <v>437</v>
      </c>
      <c r="B438" s="318" t="s">
        <v>1418</v>
      </c>
      <c r="C438" s="318" t="s">
        <v>1419</v>
      </c>
      <c r="D438" s="318" t="s">
        <v>1420</v>
      </c>
      <c r="E438" s="318" t="s">
        <v>62</v>
      </c>
      <c r="F438" s="321" t="s">
        <v>2755</v>
      </c>
      <c r="G438" s="321">
        <v>24.572164000000001</v>
      </c>
      <c r="H438">
        <v>46.884185000000002</v>
      </c>
    </row>
    <row r="439" spans="1:8">
      <c r="A439" s="59">
        <v>438</v>
      </c>
      <c r="B439" s="318" t="s">
        <v>1418</v>
      </c>
      <c r="C439" s="318" t="s">
        <v>1421</v>
      </c>
      <c r="D439" s="318" t="s">
        <v>1422</v>
      </c>
      <c r="E439" s="318" t="s">
        <v>62</v>
      </c>
      <c r="F439" s="321" t="s">
        <v>2756</v>
      </c>
      <c r="G439" s="321">
        <v>24.571967999999998</v>
      </c>
      <c r="H439">
        <v>46.884251999999996</v>
      </c>
    </row>
    <row r="440" spans="1:8">
      <c r="A440" s="59">
        <v>439</v>
      </c>
      <c r="B440" s="318" t="s">
        <v>1418</v>
      </c>
      <c r="C440" s="318" t="s">
        <v>1423</v>
      </c>
      <c r="D440" s="318" t="s">
        <v>1424</v>
      </c>
      <c r="E440" s="318" t="s">
        <v>62</v>
      </c>
      <c r="F440" s="321" t="s">
        <v>2757</v>
      </c>
      <c r="G440" s="321">
        <v>24.572337999999998</v>
      </c>
      <c r="H440">
        <v>46.883932000000001</v>
      </c>
    </row>
    <row r="441" spans="1:8">
      <c r="A441" s="59">
        <v>440</v>
      </c>
      <c r="B441" s="318" t="s">
        <v>1418</v>
      </c>
      <c r="C441" s="318" t="s">
        <v>1425</v>
      </c>
      <c r="D441" s="318" t="s">
        <v>1426</v>
      </c>
      <c r="E441" s="318" t="s">
        <v>62</v>
      </c>
      <c r="F441" s="321" t="s">
        <v>2758</v>
      </c>
      <c r="G441" s="321">
        <v>24.572393999999999</v>
      </c>
      <c r="H441">
        <v>46.884314000000003</v>
      </c>
    </row>
    <row r="442" spans="1:8">
      <c r="A442" s="59">
        <v>441</v>
      </c>
      <c r="B442" s="318" t="s">
        <v>1418</v>
      </c>
      <c r="C442" s="318" t="s">
        <v>1427</v>
      </c>
      <c r="D442" s="318" t="s">
        <v>1428</v>
      </c>
      <c r="E442" s="318" t="s">
        <v>62</v>
      </c>
      <c r="F442" s="321" t="s">
        <v>2759</v>
      </c>
      <c r="G442" s="321">
        <v>24.572547</v>
      </c>
      <c r="H442">
        <v>46.884068999999997</v>
      </c>
    </row>
    <row r="443" spans="1:8">
      <c r="A443" s="59">
        <v>442</v>
      </c>
      <c r="B443" s="318" t="s">
        <v>1429</v>
      </c>
      <c r="C443" s="318" t="s">
        <v>1430</v>
      </c>
      <c r="D443" s="318" t="s">
        <v>160</v>
      </c>
      <c r="E443" s="318" t="s">
        <v>42</v>
      </c>
      <c r="F443" s="321" t="s">
        <v>2760</v>
      </c>
      <c r="G443" s="321">
        <v>24.564537000000001</v>
      </c>
      <c r="H443">
        <v>46.896056999999999</v>
      </c>
    </row>
    <row r="444" spans="1:8">
      <c r="A444" s="59">
        <v>443</v>
      </c>
      <c r="B444" s="318" t="s">
        <v>1429</v>
      </c>
      <c r="C444" s="318" t="s">
        <v>1431</v>
      </c>
      <c r="D444" s="318" t="s">
        <v>1432</v>
      </c>
      <c r="E444" s="318" t="s">
        <v>42</v>
      </c>
      <c r="F444" s="321" t="s">
        <v>2761</v>
      </c>
      <c r="G444" s="321">
        <v>24.564444000000002</v>
      </c>
      <c r="H444">
        <v>46.896197000000001</v>
      </c>
    </row>
    <row r="445" spans="1:8">
      <c r="A445" s="59">
        <v>444</v>
      </c>
      <c r="B445" s="318" t="s">
        <v>1429</v>
      </c>
      <c r="C445" s="318" t="s">
        <v>1433</v>
      </c>
      <c r="D445" s="318" t="s">
        <v>1434</v>
      </c>
      <c r="E445" s="318" t="s">
        <v>42</v>
      </c>
      <c r="F445" s="321" t="s">
        <v>2762</v>
      </c>
      <c r="G445" s="321">
        <v>24.564361000000002</v>
      </c>
      <c r="H445">
        <v>46.896340000000002</v>
      </c>
    </row>
    <row r="446" spans="1:8">
      <c r="A446" s="59">
        <v>445</v>
      </c>
      <c r="B446" s="318" t="s">
        <v>1429</v>
      </c>
      <c r="C446" s="318" t="s">
        <v>1435</v>
      </c>
      <c r="D446" s="318" t="s">
        <v>1436</v>
      </c>
      <c r="E446" s="318" t="s">
        <v>42</v>
      </c>
      <c r="F446" s="321" t="s">
        <v>2763</v>
      </c>
      <c r="G446" s="321">
        <v>24.564615</v>
      </c>
      <c r="H446">
        <v>46.896465999999997</v>
      </c>
    </row>
    <row r="447" spans="1:8">
      <c r="A447" s="59">
        <v>446</v>
      </c>
      <c r="B447" s="318" t="s">
        <v>1437</v>
      </c>
      <c r="C447" s="318" t="s">
        <v>2348</v>
      </c>
      <c r="D447" s="318" t="s">
        <v>1439</v>
      </c>
      <c r="E447" s="318" t="s">
        <v>57</v>
      </c>
      <c r="F447" s="321" t="s">
        <v>2764</v>
      </c>
      <c r="G447" s="321">
        <v>24.678051</v>
      </c>
      <c r="H447">
        <v>46.857021000000003</v>
      </c>
    </row>
    <row r="448" spans="1:8">
      <c r="A448" s="59">
        <v>447</v>
      </c>
      <c r="B448" s="318" t="s">
        <v>1437</v>
      </c>
      <c r="C448" s="318" t="s">
        <v>2349</v>
      </c>
      <c r="D448" s="318" t="s">
        <v>1441</v>
      </c>
      <c r="E448" s="318" t="s">
        <v>57</v>
      </c>
      <c r="F448" s="321" t="s">
        <v>2765</v>
      </c>
      <c r="G448" s="321" t="s">
        <v>2362</v>
      </c>
      <c r="H448" t="s">
        <v>2766</v>
      </c>
    </row>
    <row r="449" spans="1:8">
      <c r="A449" s="59">
        <v>448</v>
      </c>
      <c r="B449" s="318" t="s">
        <v>1437</v>
      </c>
      <c r="C449" s="318" t="s">
        <v>2350</v>
      </c>
      <c r="D449" s="318" t="s">
        <v>1443</v>
      </c>
      <c r="E449" s="318" t="s">
        <v>57</v>
      </c>
      <c r="F449" s="321" t="s">
        <v>2767</v>
      </c>
      <c r="G449" s="321">
        <v>24.678623999999999</v>
      </c>
      <c r="H449">
        <v>46.856681000000002</v>
      </c>
    </row>
    <row r="450" spans="1:8">
      <c r="A450" s="59">
        <v>449</v>
      </c>
      <c r="B450" s="329" t="s">
        <v>1444</v>
      </c>
      <c r="C450" s="318" t="s">
        <v>1445</v>
      </c>
      <c r="D450" s="320" t="s">
        <v>1446</v>
      </c>
      <c r="E450" s="320" t="s">
        <v>31</v>
      </c>
      <c r="F450" s="321" t="s">
        <v>2768</v>
      </c>
      <c r="G450" s="321">
        <v>24.678066000000001</v>
      </c>
      <c r="H450">
        <v>46.772647999999997</v>
      </c>
    </row>
    <row r="451" spans="1:8">
      <c r="A451" s="59">
        <v>450</v>
      </c>
      <c r="B451" s="329" t="s">
        <v>1444</v>
      </c>
      <c r="C451" s="318" t="s">
        <v>1447</v>
      </c>
      <c r="D451" s="320" t="s">
        <v>1448</v>
      </c>
      <c r="E451" s="320" t="s">
        <v>31</v>
      </c>
      <c r="F451" s="321" t="s">
        <v>2769</v>
      </c>
      <c r="G451" s="321">
        <v>24.678111000000001</v>
      </c>
      <c r="H451">
        <v>46.773249999999997</v>
      </c>
    </row>
    <row r="452" spans="1:8">
      <c r="A452" s="59">
        <v>451</v>
      </c>
      <c r="B452" s="329" t="s">
        <v>1444</v>
      </c>
      <c r="C452" s="318" t="s">
        <v>1449</v>
      </c>
      <c r="D452" s="320" t="s">
        <v>1450</v>
      </c>
      <c r="E452" s="320" t="s">
        <v>31</v>
      </c>
      <c r="F452" s="321" t="s">
        <v>2770</v>
      </c>
      <c r="G452" s="321">
        <v>24.677944</v>
      </c>
      <c r="H452">
        <v>46.772666999999998</v>
      </c>
    </row>
    <row r="453" spans="1:8">
      <c r="A453" s="59">
        <v>452</v>
      </c>
      <c r="B453" s="318" t="s">
        <v>1451</v>
      </c>
      <c r="C453" s="318" t="s">
        <v>1452</v>
      </c>
      <c r="D453" s="318" t="s">
        <v>170</v>
      </c>
      <c r="E453" s="318" t="s">
        <v>35</v>
      </c>
      <c r="F453" s="321" t="s">
        <v>2771</v>
      </c>
      <c r="G453" s="321">
        <v>24.666791</v>
      </c>
      <c r="H453">
        <v>46.784996</v>
      </c>
    </row>
    <row r="454" spans="1:8">
      <c r="A454" s="59">
        <v>453</v>
      </c>
      <c r="B454" s="318" t="s">
        <v>1451</v>
      </c>
      <c r="C454" s="318" t="s">
        <v>1453</v>
      </c>
      <c r="D454" s="318" t="s">
        <v>1454</v>
      </c>
      <c r="E454" s="318" t="s">
        <v>35</v>
      </c>
      <c r="F454" s="321" t="s">
        <v>2772</v>
      </c>
      <c r="G454" s="321">
        <v>24.667172000000001</v>
      </c>
      <c r="H454">
        <v>46.784624999999998</v>
      </c>
    </row>
    <row r="455" spans="1:8">
      <c r="A455" s="59">
        <v>454</v>
      </c>
      <c r="B455" s="318" t="s">
        <v>1451</v>
      </c>
      <c r="C455" s="318" t="s">
        <v>1455</v>
      </c>
      <c r="D455" s="318" t="s">
        <v>1456</v>
      </c>
      <c r="E455" s="318" t="s">
        <v>35</v>
      </c>
      <c r="F455" s="321" t="s">
        <v>2773</v>
      </c>
      <c r="G455" s="321">
        <v>24.666615</v>
      </c>
      <c r="H455">
        <v>46.784481</v>
      </c>
    </row>
    <row r="456" spans="1:8">
      <c r="A456" s="59">
        <v>455</v>
      </c>
      <c r="B456" s="318" t="s">
        <v>1451</v>
      </c>
      <c r="C456" s="318" t="s">
        <v>1457</v>
      </c>
      <c r="D456" s="318" t="s">
        <v>1458</v>
      </c>
      <c r="E456" s="318" t="s">
        <v>35</v>
      </c>
      <c r="F456" s="321" t="s">
        <v>2774</v>
      </c>
      <c r="G456" s="321">
        <v>24.666840000000001</v>
      </c>
      <c r="H456">
        <v>46.784393999999999</v>
      </c>
    </row>
    <row r="457" spans="1:8" ht="15" thickBot="1">
      <c r="A457" s="332">
        <v>456</v>
      </c>
      <c r="B457" s="333" t="s">
        <v>100</v>
      </c>
      <c r="C457" s="334" t="s">
        <v>1459</v>
      </c>
      <c r="D457" s="334" t="s">
        <v>1460</v>
      </c>
      <c r="E457" s="334" t="s">
        <v>24</v>
      </c>
      <c r="F457" s="335" t="s">
        <v>2775</v>
      </c>
      <c r="G457" s="335">
        <v>24.749504099999999</v>
      </c>
      <c r="H457">
        <v>46.851057099999998</v>
      </c>
    </row>
    <row r="458" spans="1:8" ht="15" thickBot="1">
      <c r="A458" s="339">
        <v>457</v>
      </c>
      <c r="B458" s="340" t="s">
        <v>100</v>
      </c>
      <c r="C458" s="341" t="s">
        <v>1461</v>
      </c>
      <c r="D458" s="341" t="s">
        <v>1462</v>
      </c>
      <c r="E458" s="341" t="s">
        <v>24</v>
      </c>
      <c r="F458" s="342" t="s">
        <v>2776</v>
      </c>
      <c r="G458" s="342">
        <v>24.749015400000001</v>
      </c>
      <c r="H458">
        <v>46.851421600000002</v>
      </c>
    </row>
    <row r="459" spans="1:8">
      <c r="A459" s="61">
        <v>458</v>
      </c>
      <c r="B459" s="337" t="s">
        <v>100</v>
      </c>
      <c r="C459" s="336" t="s">
        <v>1463</v>
      </c>
      <c r="D459" s="336" t="s">
        <v>1464</v>
      </c>
      <c r="E459" s="336" t="s">
        <v>24</v>
      </c>
      <c r="F459" s="338" t="s">
        <v>2777</v>
      </c>
      <c r="G459" s="338">
        <v>24.7495823</v>
      </c>
      <c r="H459">
        <v>46.851488600000003</v>
      </c>
    </row>
    <row r="460" spans="1:8">
      <c r="A460" s="59">
        <v>459</v>
      </c>
      <c r="B460" s="318" t="s">
        <v>1465</v>
      </c>
      <c r="C460" s="318" t="s">
        <v>2351</v>
      </c>
      <c r="D460" s="318" t="s">
        <v>162</v>
      </c>
      <c r="E460" s="318" t="s">
        <v>44</v>
      </c>
      <c r="F460" s="321" t="s">
        <v>2778</v>
      </c>
      <c r="G460" s="321" t="s">
        <v>2363</v>
      </c>
      <c r="H460" t="s">
        <v>2779</v>
      </c>
    </row>
    <row r="461" spans="1:8">
      <c r="A461" s="59">
        <v>460</v>
      </c>
      <c r="B461" s="318" t="s">
        <v>1465</v>
      </c>
      <c r="C461" s="318" t="s">
        <v>2352</v>
      </c>
      <c r="D461" s="318" t="s">
        <v>1468</v>
      </c>
      <c r="E461" s="318" t="s">
        <v>44</v>
      </c>
      <c r="F461" s="321" t="s">
        <v>2780</v>
      </c>
      <c r="G461" s="321" t="s">
        <v>2364</v>
      </c>
      <c r="H461" t="s">
        <v>2781</v>
      </c>
    </row>
    <row r="462" spans="1:8">
      <c r="A462" s="59">
        <v>461</v>
      </c>
      <c r="B462" s="318" t="s">
        <v>1465</v>
      </c>
      <c r="C462" s="318" t="s">
        <v>2353</v>
      </c>
      <c r="D462" s="318" t="s">
        <v>1470</v>
      </c>
      <c r="E462" s="318" t="s">
        <v>44</v>
      </c>
      <c r="F462" s="321" t="s">
        <v>2782</v>
      </c>
      <c r="G462" s="321">
        <v>24.743789</v>
      </c>
      <c r="H462">
        <v>46.855839000000003</v>
      </c>
    </row>
    <row r="463" spans="1:8">
      <c r="A463" s="59">
        <v>462</v>
      </c>
      <c r="B463" s="329" t="s">
        <v>1471</v>
      </c>
      <c r="C463" s="318" t="s">
        <v>1472</v>
      </c>
      <c r="D463" s="318" t="s">
        <v>161</v>
      </c>
      <c r="E463" s="318" t="s">
        <v>37</v>
      </c>
      <c r="F463" s="318" t="s">
        <v>2783</v>
      </c>
      <c r="G463" s="318">
        <v>24.540856999999999</v>
      </c>
      <c r="H463">
        <v>46.877738000000001</v>
      </c>
    </row>
    <row r="464" spans="1:8">
      <c r="A464" s="59">
        <v>463</v>
      </c>
      <c r="B464" s="329" t="s">
        <v>1471</v>
      </c>
      <c r="C464" s="318" t="s">
        <v>1473</v>
      </c>
      <c r="D464" s="318" t="s">
        <v>1474</v>
      </c>
      <c r="E464" s="318" t="s">
        <v>37</v>
      </c>
      <c r="F464" s="321" t="s">
        <v>2784</v>
      </c>
      <c r="G464" s="321">
        <v>24.540552999999999</v>
      </c>
      <c r="H464">
        <v>46.878230000000002</v>
      </c>
    </row>
    <row r="465" spans="1:8">
      <c r="A465" s="59">
        <v>464</v>
      </c>
      <c r="B465" s="329" t="s">
        <v>1471</v>
      </c>
      <c r="C465" s="318" t="s">
        <v>1475</v>
      </c>
      <c r="D465" s="318" t="s">
        <v>1476</v>
      </c>
      <c r="E465" s="318" t="s">
        <v>37</v>
      </c>
      <c r="F465" s="321" t="s">
        <v>2785</v>
      </c>
      <c r="G465" s="321">
        <v>24.5407045</v>
      </c>
      <c r="H465">
        <v>46.877566799999997</v>
      </c>
    </row>
    <row r="466" spans="1:8">
      <c r="A466" s="59">
        <v>465</v>
      </c>
      <c r="B466" s="318" t="s">
        <v>1477</v>
      </c>
      <c r="C466" s="318" t="s">
        <v>1478</v>
      </c>
      <c r="D466" s="318" t="s">
        <v>1479</v>
      </c>
      <c r="E466" s="318" t="s">
        <v>56</v>
      </c>
      <c r="F466" s="321" t="s">
        <v>2786</v>
      </c>
      <c r="G466" s="321">
        <v>24.691683000000001</v>
      </c>
      <c r="H466">
        <v>46.856139300000002</v>
      </c>
    </row>
    <row r="467" spans="1:8">
      <c r="A467" s="59">
        <v>466</v>
      </c>
      <c r="B467" s="318" t="s">
        <v>1477</v>
      </c>
      <c r="C467" s="318" t="s">
        <v>1480</v>
      </c>
      <c r="D467" s="318" t="s">
        <v>1481</v>
      </c>
      <c r="E467" s="318" t="s">
        <v>56</v>
      </c>
      <c r="F467" s="321" t="s">
        <v>2787</v>
      </c>
      <c r="G467" s="321">
        <v>24.691528000000002</v>
      </c>
      <c r="H467">
        <v>46.856422999999999</v>
      </c>
    </row>
    <row r="468" spans="1:8">
      <c r="A468" s="59">
        <v>467</v>
      </c>
      <c r="B468" s="318" t="s">
        <v>1477</v>
      </c>
      <c r="C468" s="318" t="s">
        <v>1482</v>
      </c>
      <c r="D468" s="318" t="s">
        <v>1483</v>
      </c>
      <c r="E468" s="318" t="s">
        <v>56</v>
      </c>
      <c r="F468" s="321" t="s">
        <v>2788</v>
      </c>
      <c r="G468" s="321">
        <v>24.6909071</v>
      </c>
      <c r="H468">
        <v>46.856369600000001</v>
      </c>
    </row>
    <row r="469" spans="1:8">
      <c r="A469" s="59">
        <v>468</v>
      </c>
      <c r="B469" s="318" t="s">
        <v>1477</v>
      </c>
      <c r="C469" s="318" t="s">
        <v>1484</v>
      </c>
      <c r="D469" s="318" t="s">
        <v>1485</v>
      </c>
      <c r="E469" s="318" t="s">
        <v>56</v>
      </c>
      <c r="F469" s="321" t="s">
        <v>2789</v>
      </c>
      <c r="G469" s="321">
        <v>24.690969800000001</v>
      </c>
      <c r="H469">
        <v>46.856715299999998</v>
      </c>
    </row>
    <row r="470" spans="1:8">
      <c r="A470" s="59">
        <v>469</v>
      </c>
      <c r="B470" s="329" t="s">
        <v>1486</v>
      </c>
      <c r="C470" s="318" t="s">
        <v>1487</v>
      </c>
      <c r="D470" s="318" t="s">
        <v>1488</v>
      </c>
      <c r="E470" s="318" t="s">
        <v>61</v>
      </c>
      <c r="F470" s="321" t="s">
        <v>2790</v>
      </c>
      <c r="G470" s="321">
        <v>24.585950700000001</v>
      </c>
      <c r="H470">
        <v>46.868840499999997</v>
      </c>
    </row>
    <row r="471" spans="1:8" ht="15" thickBot="1">
      <c r="A471" s="332">
        <v>470</v>
      </c>
      <c r="B471" s="333" t="s">
        <v>1486</v>
      </c>
      <c r="C471" s="334" t="s">
        <v>1489</v>
      </c>
      <c r="D471" s="334" t="s">
        <v>1490</v>
      </c>
      <c r="E471" s="334" t="s">
        <v>61</v>
      </c>
      <c r="F471" s="335" t="s">
        <v>2791</v>
      </c>
      <c r="G471" s="335">
        <v>24.585954399999999</v>
      </c>
      <c r="H471">
        <v>46.869288099999999</v>
      </c>
    </row>
    <row r="472" spans="1:8" ht="15" thickBot="1">
      <c r="A472" s="339">
        <v>471</v>
      </c>
      <c r="B472" s="340" t="s">
        <v>1486</v>
      </c>
      <c r="C472" s="341" t="s">
        <v>1491</v>
      </c>
      <c r="D472" s="341" t="s">
        <v>1492</v>
      </c>
      <c r="E472" s="341" t="s">
        <v>61</v>
      </c>
      <c r="F472" s="342" t="s">
        <v>2792</v>
      </c>
      <c r="G472" s="342">
        <v>24.585992999999998</v>
      </c>
      <c r="H472">
        <v>46.869014</v>
      </c>
    </row>
    <row r="473" spans="1:8">
      <c r="A473" s="61">
        <v>472</v>
      </c>
      <c r="B473" s="336" t="s">
        <v>1493</v>
      </c>
      <c r="C473" s="336" t="s">
        <v>1494</v>
      </c>
      <c r="D473" s="336" t="s">
        <v>108</v>
      </c>
      <c r="E473" s="336" t="s">
        <v>5</v>
      </c>
      <c r="F473" s="336" t="s">
        <v>2793</v>
      </c>
      <c r="G473" s="336">
        <v>24.675097999999998</v>
      </c>
      <c r="H473">
        <v>46.656790999999998</v>
      </c>
    </row>
    <row r="474" spans="1:8">
      <c r="A474" s="59">
        <v>473</v>
      </c>
      <c r="B474" s="318" t="s">
        <v>1493</v>
      </c>
      <c r="C474" s="318" t="s">
        <v>1495</v>
      </c>
      <c r="D474" s="318" t="s">
        <v>1496</v>
      </c>
      <c r="E474" s="318" t="s">
        <v>5</v>
      </c>
      <c r="F474" s="318" t="s">
        <v>2794</v>
      </c>
      <c r="G474" s="318">
        <v>24.674889</v>
      </c>
      <c r="H474">
        <v>46.656666999999999</v>
      </c>
    </row>
    <row r="475" spans="1:8">
      <c r="A475" s="59">
        <v>474</v>
      </c>
      <c r="B475" s="318" t="s">
        <v>1493</v>
      </c>
      <c r="C475" s="318" t="s">
        <v>1497</v>
      </c>
      <c r="D475" s="318" t="s">
        <v>1498</v>
      </c>
      <c r="E475" s="318" t="s">
        <v>5</v>
      </c>
      <c r="F475" s="318" t="s">
        <v>2795</v>
      </c>
      <c r="G475" s="318">
        <v>24.674253</v>
      </c>
      <c r="H475">
        <v>46.657262000000003</v>
      </c>
    </row>
    <row r="476" spans="1:8">
      <c r="A476" s="59">
        <v>475</v>
      </c>
      <c r="B476" s="318" t="s">
        <v>1493</v>
      </c>
      <c r="C476" s="318" t="s">
        <v>1499</v>
      </c>
      <c r="D476" s="318" t="s">
        <v>1500</v>
      </c>
      <c r="E476" s="318" t="s">
        <v>5</v>
      </c>
      <c r="F476" s="318" t="s">
        <v>2796</v>
      </c>
      <c r="G476" s="318">
        <v>24.674645000000002</v>
      </c>
      <c r="H476">
        <v>46.656978000000002</v>
      </c>
    </row>
    <row r="477" spans="1:8">
      <c r="A477" s="59">
        <v>476</v>
      </c>
      <c r="B477" s="318" t="s">
        <v>1501</v>
      </c>
      <c r="C477" s="318" t="s">
        <v>1502</v>
      </c>
      <c r="D477" s="318" t="s">
        <v>1503</v>
      </c>
      <c r="E477" s="318" t="s">
        <v>1680</v>
      </c>
      <c r="F477" s="318" t="s">
        <v>2797</v>
      </c>
      <c r="G477" s="318" t="s">
        <v>2365</v>
      </c>
      <c r="H477" t="s">
        <v>2798</v>
      </c>
    </row>
    <row r="478" spans="1:8">
      <c r="A478" s="59">
        <v>477</v>
      </c>
      <c r="B478" s="318" t="s">
        <v>1501</v>
      </c>
      <c r="C478" s="318" t="s">
        <v>1504</v>
      </c>
      <c r="D478" s="318" t="s">
        <v>1505</v>
      </c>
      <c r="E478" s="318" t="s">
        <v>1680</v>
      </c>
      <c r="F478" s="318" t="s">
        <v>2799</v>
      </c>
      <c r="G478" s="318">
        <v>24.676663999999999</v>
      </c>
      <c r="H478">
        <v>46.645963000000002</v>
      </c>
    </row>
    <row r="479" spans="1:8">
      <c r="A479" s="59">
        <v>478</v>
      </c>
      <c r="B479" s="318" t="s">
        <v>1501</v>
      </c>
      <c r="C479" s="318" t="s">
        <v>1506</v>
      </c>
      <c r="D479" s="318" t="s">
        <v>1507</v>
      </c>
      <c r="E479" s="318" t="s">
        <v>1680</v>
      </c>
      <c r="F479" s="318" t="s">
        <v>2800</v>
      </c>
      <c r="G479" s="318">
        <v>24.676181</v>
      </c>
      <c r="H479">
        <v>46.646095000000003</v>
      </c>
    </row>
    <row r="480" spans="1:8">
      <c r="A480" s="59">
        <v>479</v>
      </c>
      <c r="B480" s="317" t="s">
        <v>1508</v>
      </c>
      <c r="C480" s="317" t="s">
        <v>1509</v>
      </c>
      <c r="D480" s="317" t="s">
        <v>1510</v>
      </c>
      <c r="E480" s="317" t="s">
        <v>1681</v>
      </c>
      <c r="F480" s="317" t="s">
        <v>2801</v>
      </c>
      <c r="G480" s="317">
        <v>24.674859999999999</v>
      </c>
      <c r="H480">
        <v>46.669192000000002</v>
      </c>
    </row>
    <row r="481" spans="1:8">
      <c r="A481" s="59">
        <v>480</v>
      </c>
      <c r="B481" s="317" t="s">
        <v>1508</v>
      </c>
      <c r="C481" s="317" t="s">
        <v>1511</v>
      </c>
      <c r="D481" s="317" t="s">
        <v>1512</v>
      </c>
      <c r="E481" s="317" t="s">
        <v>1681</v>
      </c>
      <c r="F481" s="317" t="s">
        <v>2802</v>
      </c>
      <c r="G481" s="317">
        <v>24.675062</v>
      </c>
      <c r="H481">
        <v>46.66863</v>
      </c>
    </row>
    <row r="482" spans="1:8">
      <c r="A482" s="59">
        <v>481</v>
      </c>
      <c r="B482" s="318" t="s">
        <v>1513</v>
      </c>
      <c r="C482" s="318" t="s">
        <v>1514</v>
      </c>
      <c r="D482" s="318" t="s">
        <v>1515</v>
      </c>
      <c r="E482" s="318" t="s">
        <v>4</v>
      </c>
      <c r="F482" s="318" t="s">
        <v>2803</v>
      </c>
      <c r="G482" s="318">
        <v>24.675512999999999</v>
      </c>
      <c r="H482">
        <v>46.677770000000002</v>
      </c>
    </row>
    <row r="483" spans="1:8">
      <c r="A483" s="59">
        <v>482</v>
      </c>
      <c r="B483" s="318" t="s">
        <v>1513</v>
      </c>
      <c r="C483" s="318" t="s">
        <v>1516</v>
      </c>
      <c r="D483" s="318" t="s">
        <v>1517</v>
      </c>
      <c r="E483" s="318" t="s">
        <v>4</v>
      </c>
      <c r="F483" s="318" t="s">
        <v>2804</v>
      </c>
      <c r="G483" s="318">
        <v>24.675566</v>
      </c>
      <c r="H483">
        <v>46.678548999999997</v>
      </c>
    </row>
    <row r="484" spans="1:8">
      <c r="A484" s="59">
        <v>483</v>
      </c>
      <c r="B484" s="318" t="s">
        <v>1513</v>
      </c>
      <c r="C484" s="318" t="s">
        <v>1518</v>
      </c>
      <c r="D484" s="318" t="s">
        <v>1519</v>
      </c>
      <c r="E484" s="318" t="s">
        <v>4</v>
      </c>
      <c r="F484" s="318" t="s">
        <v>2805</v>
      </c>
      <c r="G484" s="318">
        <v>24.675242000000001</v>
      </c>
      <c r="H484">
        <v>46.677804999999999</v>
      </c>
    </row>
    <row r="485" spans="1:8">
      <c r="A485" s="59">
        <v>484</v>
      </c>
      <c r="B485" s="318" t="s">
        <v>1520</v>
      </c>
      <c r="C485" s="318" t="s">
        <v>1521</v>
      </c>
      <c r="D485" s="318" t="s">
        <v>1522</v>
      </c>
      <c r="E485" s="318" t="s">
        <v>33</v>
      </c>
      <c r="F485" s="318" t="s">
        <v>2806</v>
      </c>
      <c r="G485" s="318">
        <v>24.740012</v>
      </c>
      <c r="H485">
        <v>46.645671999999998</v>
      </c>
    </row>
    <row r="486" spans="1:8">
      <c r="A486" s="59">
        <v>485</v>
      </c>
      <c r="B486" s="318" t="s">
        <v>1520</v>
      </c>
      <c r="C486" s="318" t="s">
        <v>1523</v>
      </c>
      <c r="D486" s="318" t="s">
        <v>1524</v>
      </c>
      <c r="E486" s="318" t="s">
        <v>33</v>
      </c>
      <c r="F486" s="318" t="s">
        <v>2807</v>
      </c>
      <c r="G486" s="318">
        <v>24.740220000000001</v>
      </c>
      <c r="H486">
        <v>46.645784999999997</v>
      </c>
    </row>
    <row r="487" spans="1:8">
      <c r="A487" s="59">
        <v>486</v>
      </c>
      <c r="B487" s="318" t="s">
        <v>1520</v>
      </c>
      <c r="C487" s="318" t="s">
        <v>1525</v>
      </c>
      <c r="D487" s="318" t="s">
        <v>1526</v>
      </c>
      <c r="E487" s="318" t="s">
        <v>33</v>
      </c>
      <c r="F487" s="318" t="s">
        <v>2808</v>
      </c>
      <c r="G487" s="318">
        <v>24.740513</v>
      </c>
      <c r="H487">
        <v>46.645386999999999</v>
      </c>
    </row>
    <row r="488" spans="1:8">
      <c r="A488" s="59">
        <v>487</v>
      </c>
      <c r="B488" s="318" t="s">
        <v>1527</v>
      </c>
      <c r="C488" s="318" t="s">
        <v>1528</v>
      </c>
      <c r="D488" s="318" t="s">
        <v>1529</v>
      </c>
      <c r="E488" s="318" t="s">
        <v>101</v>
      </c>
      <c r="F488" s="318" t="s">
        <v>2809</v>
      </c>
      <c r="G488" s="318">
        <v>24.675318999999998</v>
      </c>
      <c r="H488">
        <v>46.653368999999998</v>
      </c>
    </row>
    <row r="489" spans="1:8">
      <c r="A489" s="59">
        <v>488</v>
      </c>
      <c r="B489" s="318" t="s">
        <v>1527</v>
      </c>
      <c r="C489" s="318" t="s">
        <v>1530</v>
      </c>
      <c r="D489" s="318" t="s">
        <v>1531</v>
      </c>
      <c r="E489" s="318" t="s">
        <v>101</v>
      </c>
      <c r="F489" s="318" t="s">
        <v>2810</v>
      </c>
      <c r="G489" s="318">
        <v>24.675729</v>
      </c>
      <c r="H489">
        <v>46.652673</v>
      </c>
    </row>
    <row r="490" spans="1:8">
      <c r="A490" s="59">
        <v>489</v>
      </c>
      <c r="B490" s="318" t="s">
        <v>1527</v>
      </c>
      <c r="C490" s="318" t="s">
        <v>1532</v>
      </c>
      <c r="D490" s="318" t="s">
        <v>1533</v>
      </c>
      <c r="E490" s="318" t="s">
        <v>101</v>
      </c>
      <c r="F490" s="318" t="s">
        <v>2811</v>
      </c>
      <c r="G490" s="318">
        <v>24.675349000000001</v>
      </c>
      <c r="H490">
        <v>46.651944</v>
      </c>
    </row>
    <row r="491" spans="1:8">
      <c r="A491" s="59">
        <v>490</v>
      </c>
      <c r="B491" s="318" t="s">
        <v>1534</v>
      </c>
      <c r="C491" s="318" t="s">
        <v>2354</v>
      </c>
      <c r="D491" s="318" t="s">
        <v>1536</v>
      </c>
      <c r="E491" s="318" t="s">
        <v>50</v>
      </c>
      <c r="F491" s="318" t="s">
        <v>2812</v>
      </c>
      <c r="G491" s="318">
        <v>24.696328000000001</v>
      </c>
      <c r="H491">
        <v>46.634785000000001</v>
      </c>
    </row>
    <row r="492" spans="1:8">
      <c r="A492" s="59">
        <v>491</v>
      </c>
      <c r="B492" s="318" t="s">
        <v>1534</v>
      </c>
      <c r="C492" s="318" t="s">
        <v>2355</v>
      </c>
      <c r="D492" s="318" t="s">
        <v>1538</v>
      </c>
      <c r="E492" s="318" t="s">
        <v>50</v>
      </c>
      <c r="F492" s="318" t="s">
        <v>2813</v>
      </c>
      <c r="G492" s="318">
        <v>24.696200000000001</v>
      </c>
      <c r="H492">
        <v>46.634898</v>
      </c>
    </row>
    <row r="493" spans="1:8">
      <c r="A493" s="59">
        <v>492</v>
      </c>
      <c r="B493" s="317" t="s">
        <v>1539</v>
      </c>
      <c r="C493" s="318" t="s">
        <v>2356</v>
      </c>
      <c r="D493" s="318" t="s">
        <v>118</v>
      </c>
      <c r="E493" s="318" t="s">
        <v>6</v>
      </c>
      <c r="F493" s="318" t="s">
        <v>2814</v>
      </c>
      <c r="G493" s="318">
        <v>24.708203999999999</v>
      </c>
      <c r="H493">
        <v>46.663535000000003</v>
      </c>
    </row>
    <row r="494" spans="1:8">
      <c r="A494" s="59">
        <v>493</v>
      </c>
      <c r="B494" s="317" t="s">
        <v>1539</v>
      </c>
      <c r="C494" s="318" t="s">
        <v>2357</v>
      </c>
      <c r="D494" s="318" t="s">
        <v>1542</v>
      </c>
      <c r="E494" s="318" t="s">
        <v>6</v>
      </c>
      <c r="F494" s="318" t="s">
        <v>2815</v>
      </c>
      <c r="G494" s="318">
        <v>24.708693</v>
      </c>
      <c r="H494">
        <v>46.663324000000003</v>
      </c>
    </row>
    <row r="495" spans="1:8">
      <c r="A495" s="59">
        <v>494</v>
      </c>
      <c r="B495" s="317" t="s">
        <v>1539</v>
      </c>
      <c r="C495" s="318" t="s">
        <v>2358</v>
      </c>
      <c r="D495" s="318" t="s">
        <v>1544</v>
      </c>
      <c r="E495" s="318" t="s">
        <v>6</v>
      </c>
      <c r="F495" s="318" t="s">
        <v>2816</v>
      </c>
      <c r="G495" s="318">
        <v>24.707977</v>
      </c>
      <c r="H495">
        <v>46.663884000000003</v>
      </c>
    </row>
    <row r="496" spans="1:8">
      <c r="A496" s="59">
        <v>495</v>
      </c>
      <c r="B496" s="317" t="s">
        <v>1545</v>
      </c>
      <c r="C496" s="318" t="s">
        <v>1546</v>
      </c>
      <c r="D496" s="318" t="s">
        <v>136</v>
      </c>
      <c r="E496" s="318" t="s">
        <v>103</v>
      </c>
      <c r="F496" s="318" t="s">
        <v>2817</v>
      </c>
      <c r="G496" s="318">
        <v>24.614449</v>
      </c>
      <c r="H496">
        <v>46.583522000000002</v>
      </c>
    </row>
    <row r="497" spans="1:8">
      <c r="A497" s="59">
        <v>496</v>
      </c>
      <c r="B497" s="317" t="s">
        <v>1545</v>
      </c>
      <c r="C497" s="318" t="s">
        <v>1547</v>
      </c>
      <c r="D497" s="318" t="s">
        <v>1548</v>
      </c>
      <c r="E497" s="318" t="s">
        <v>103</v>
      </c>
      <c r="F497" s="318" t="s">
        <v>2818</v>
      </c>
      <c r="G497" s="318">
        <v>24.614457999999999</v>
      </c>
      <c r="H497">
        <v>46.583513000000004</v>
      </c>
    </row>
    <row r="498" spans="1:8">
      <c r="A498" s="59">
        <v>497</v>
      </c>
      <c r="B498" s="317" t="s">
        <v>1545</v>
      </c>
      <c r="C498" s="318" t="s">
        <v>1549</v>
      </c>
      <c r="D498" s="318" t="s">
        <v>1550</v>
      </c>
      <c r="E498" s="318" t="s">
        <v>103</v>
      </c>
      <c r="F498" s="318" t="s">
        <v>2819</v>
      </c>
      <c r="G498" s="318">
        <v>24.617844999999999</v>
      </c>
      <c r="H498">
        <v>46.581926000000003</v>
      </c>
    </row>
    <row r="499" spans="1:8">
      <c r="A499" s="59">
        <v>498</v>
      </c>
      <c r="B499" s="317" t="s">
        <v>1545</v>
      </c>
      <c r="C499" s="318" t="s">
        <v>1551</v>
      </c>
      <c r="D499" s="318" t="s">
        <v>1552</v>
      </c>
      <c r="E499" s="318" t="s">
        <v>103</v>
      </c>
      <c r="F499" s="318" t="s">
        <v>2820</v>
      </c>
      <c r="G499" s="318">
        <v>24.617789999999999</v>
      </c>
      <c r="H499">
        <v>46.581960000000002</v>
      </c>
    </row>
    <row r="500" spans="1:8">
      <c r="A500" s="59">
        <v>499</v>
      </c>
      <c r="B500" s="317" t="s">
        <v>1553</v>
      </c>
      <c r="C500" s="331" t="s">
        <v>1554</v>
      </c>
      <c r="D500" s="317" t="s">
        <v>155</v>
      </c>
      <c r="E500" s="317" t="s">
        <v>1682</v>
      </c>
      <c r="F500" s="323" t="s">
        <v>2821</v>
      </c>
      <c r="G500" s="323">
        <v>24.683706999999998</v>
      </c>
      <c r="H500">
        <v>46.685862999999998</v>
      </c>
    </row>
    <row r="501" spans="1:8">
      <c r="A501" s="59">
        <v>500</v>
      </c>
      <c r="B501" s="317" t="s">
        <v>1553</v>
      </c>
      <c r="C501" s="331" t="s">
        <v>1555</v>
      </c>
      <c r="D501" s="317" t="s">
        <v>1556</v>
      </c>
      <c r="E501" s="317" t="s">
        <v>1682</v>
      </c>
      <c r="F501" s="323" t="s">
        <v>2822</v>
      </c>
      <c r="G501" s="323">
        <v>24.683888</v>
      </c>
      <c r="H501">
        <v>46.686247000000002</v>
      </c>
    </row>
    <row r="502" spans="1:8">
      <c r="A502" s="59">
        <v>501</v>
      </c>
      <c r="B502" s="317" t="s">
        <v>1553</v>
      </c>
      <c r="C502" s="331" t="s">
        <v>1557</v>
      </c>
      <c r="D502" s="317" t="s">
        <v>1558</v>
      </c>
      <c r="E502" s="317" t="s">
        <v>1682</v>
      </c>
      <c r="F502" s="328" t="s">
        <v>2823</v>
      </c>
      <c r="G502" s="328">
        <v>24.684000000000001</v>
      </c>
      <c r="H502">
        <v>46.686503000000002</v>
      </c>
    </row>
    <row r="503" spans="1:8">
      <c r="A503" s="59">
        <v>502</v>
      </c>
      <c r="B503" s="317" t="s">
        <v>1553</v>
      </c>
      <c r="C503" s="331" t="s">
        <v>1559</v>
      </c>
      <c r="D503" s="317" t="s">
        <v>1560</v>
      </c>
      <c r="E503" s="317" t="s">
        <v>1682</v>
      </c>
      <c r="F503" s="323" t="s">
        <v>2824</v>
      </c>
      <c r="G503" s="323">
        <v>24.683738999999999</v>
      </c>
      <c r="H503">
        <v>46.685924999999997</v>
      </c>
    </row>
    <row r="504" spans="1:8">
      <c r="A504" s="59">
        <v>503</v>
      </c>
      <c r="B504" s="317" t="s">
        <v>1553</v>
      </c>
      <c r="C504" s="331" t="s">
        <v>1561</v>
      </c>
      <c r="D504" s="317" t="s">
        <v>1562</v>
      </c>
      <c r="E504" s="317" t="s">
        <v>1682</v>
      </c>
      <c r="F504" s="323" t="s">
        <v>2822</v>
      </c>
      <c r="G504" s="323">
        <v>24.683888</v>
      </c>
      <c r="H504">
        <v>46.686247000000002</v>
      </c>
    </row>
    <row r="505" spans="1:8">
      <c r="A505" s="59">
        <v>504</v>
      </c>
      <c r="B505" s="317" t="s">
        <v>1553</v>
      </c>
      <c r="C505" s="331" t="s">
        <v>1563</v>
      </c>
      <c r="D505" s="317" t="s">
        <v>1564</v>
      </c>
      <c r="E505" s="317" t="s">
        <v>1682</v>
      </c>
      <c r="F505" s="323" t="s">
        <v>2825</v>
      </c>
      <c r="G505" s="323">
        <v>24.683727999999999</v>
      </c>
      <c r="H505">
        <v>46.685915999999999</v>
      </c>
    </row>
    <row r="506" spans="1:8">
      <c r="A506" s="59">
        <v>505</v>
      </c>
      <c r="B506" s="317" t="s">
        <v>1553</v>
      </c>
      <c r="C506" s="331" t="s">
        <v>1565</v>
      </c>
      <c r="D506" s="317" t="s">
        <v>1566</v>
      </c>
      <c r="E506" s="317" t="s">
        <v>1682</v>
      </c>
      <c r="F506" s="323" t="s">
        <v>2826</v>
      </c>
      <c r="G506" s="323">
        <v>24.683983999999999</v>
      </c>
      <c r="H506">
        <v>46.686469000000002</v>
      </c>
    </row>
    <row r="507" spans="1:8">
      <c r="A507" s="59">
        <v>506</v>
      </c>
      <c r="B507" s="317" t="s">
        <v>1553</v>
      </c>
      <c r="C507" s="331" t="s">
        <v>1567</v>
      </c>
      <c r="D507" s="317" t="s">
        <v>1568</v>
      </c>
      <c r="E507" s="317" t="s">
        <v>1682</v>
      </c>
      <c r="F507" s="323" t="s">
        <v>2827</v>
      </c>
      <c r="G507" s="323">
        <v>24.683976999999999</v>
      </c>
      <c r="H507">
        <v>46.686450999999998</v>
      </c>
    </row>
    <row r="508" spans="1:8">
      <c r="A508" s="59">
        <v>507</v>
      </c>
      <c r="B508" s="319" t="s">
        <v>1569</v>
      </c>
      <c r="C508" s="331" t="s">
        <v>1570</v>
      </c>
      <c r="D508" s="317" t="s">
        <v>1571</v>
      </c>
      <c r="E508" s="317" t="s">
        <v>1683</v>
      </c>
      <c r="F508" s="322" t="s">
        <v>2828</v>
      </c>
      <c r="G508" s="322">
        <v>24.700198</v>
      </c>
      <c r="H508">
        <v>46.678345999999998</v>
      </c>
    </row>
    <row r="509" spans="1:8">
      <c r="A509" s="59">
        <v>508</v>
      </c>
      <c r="B509" s="319" t="s">
        <v>1569</v>
      </c>
      <c r="C509" s="331" t="s">
        <v>1572</v>
      </c>
      <c r="D509" s="317" t="s">
        <v>1573</v>
      </c>
      <c r="E509" s="317" t="s">
        <v>1683</v>
      </c>
      <c r="F509" s="322" t="s">
        <v>2829</v>
      </c>
      <c r="G509" s="322">
        <v>24.700050999999998</v>
      </c>
      <c r="H509">
        <v>46.678004000000001</v>
      </c>
    </row>
    <row r="510" spans="1:8">
      <c r="A510" s="59">
        <v>509</v>
      </c>
      <c r="B510" s="319" t="s">
        <v>1569</v>
      </c>
      <c r="C510" s="331" t="s">
        <v>1574</v>
      </c>
      <c r="D510" s="317" t="s">
        <v>1575</v>
      </c>
      <c r="E510" s="317" t="s">
        <v>1683</v>
      </c>
      <c r="F510" s="322" t="s">
        <v>2828</v>
      </c>
      <c r="G510" s="322">
        <v>24.700198</v>
      </c>
      <c r="H510">
        <v>46.678345999999998</v>
      </c>
    </row>
    <row r="511" spans="1:8">
      <c r="A511" s="59">
        <v>510</v>
      </c>
      <c r="B511" s="319" t="s">
        <v>1569</v>
      </c>
      <c r="C511" s="331" t="s">
        <v>1576</v>
      </c>
      <c r="D511" s="317" t="s">
        <v>1577</v>
      </c>
      <c r="E511" s="317" t="s">
        <v>1683</v>
      </c>
      <c r="F511" s="322" t="s">
        <v>2829</v>
      </c>
      <c r="G511" s="322">
        <v>24.700050999999998</v>
      </c>
      <c r="H511">
        <v>46.678004000000001</v>
      </c>
    </row>
    <row r="512" spans="1:8">
      <c r="A512" s="59">
        <v>511</v>
      </c>
      <c r="B512" s="319" t="s">
        <v>1569</v>
      </c>
      <c r="C512" s="331" t="s">
        <v>1578</v>
      </c>
      <c r="D512" s="317" t="s">
        <v>1579</v>
      </c>
      <c r="E512" s="317" t="s">
        <v>1683</v>
      </c>
      <c r="F512" s="323" t="s">
        <v>2830</v>
      </c>
      <c r="G512" s="323">
        <v>24.699964999999999</v>
      </c>
      <c r="H512">
        <v>46.677757999999997</v>
      </c>
    </row>
    <row r="513" spans="1:8">
      <c r="A513" s="59">
        <v>512</v>
      </c>
      <c r="B513" s="319" t="s">
        <v>1569</v>
      </c>
      <c r="C513" s="331" t="s">
        <v>1580</v>
      </c>
      <c r="D513" s="317" t="s">
        <v>1581</v>
      </c>
      <c r="E513" s="317" t="s">
        <v>1683</v>
      </c>
      <c r="F513" s="322" t="s">
        <v>2831</v>
      </c>
      <c r="G513" s="322">
        <v>24.700172999999999</v>
      </c>
      <c r="H513">
        <v>46.678286999999997</v>
      </c>
    </row>
    <row r="514" spans="1:8">
      <c r="A514" s="59">
        <v>513</v>
      </c>
      <c r="B514" s="319" t="s">
        <v>1569</v>
      </c>
      <c r="C514" s="331" t="s">
        <v>1582</v>
      </c>
      <c r="D514" s="317" t="s">
        <v>1583</v>
      </c>
      <c r="E514" s="317" t="s">
        <v>1683</v>
      </c>
      <c r="F514" s="323" t="s">
        <v>2830</v>
      </c>
      <c r="G514" s="323">
        <v>24.699964999999999</v>
      </c>
      <c r="H514">
        <v>46.677757999999997</v>
      </c>
    </row>
    <row r="515" spans="1:8">
      <c r="A515" s="59">
        <v>514</v>
      </c>
      <c r="B515" s="319" t="s">
        <v>1569</v>
      </c>
      <c r="C515" s="331" t="s">
        <v>1584</v>
      </c>
      <c r="D515" s="317" t="s">
        <v>1585</v>
      </c>
      <c r="E515" s="317" t="s">
        <v>1683</v>
      </c>
      <c r="F515" s="322" t="s">
        <v>2832</v>
      </c>
      <c r="G515" s="322">
        <v>24.699974000000001</v>
      </c>
      <c r="H515">
        <v>46.677807000000001</v>
      </c>
    </row>
    <row r="516" spans="1:8">
      <c r="A516" s="59">
        <v>515</v>
      </c>
      <c r="B516" s="319" t="s">
        <v>1586</v>
      </c>
      <c r="C516" s="331" t="s">
        <v>1587</v>
      </c>
      <c r="D516" s="319" t="s">
        <v>1588</v>
      </c>
      <c r="E516" s="319" t="s">
        <v>1684</v>
      </c>
      <c r="F516" s="322" t="s">
        <v>2833</v>
      </c>
      <c r="G516" s="322">
        <v>24.707668999999999</v>
      </c>
      <c r="H516">
        <v>46.674571</v>
      </c>
    </row>
    <row r="517" spans="1:8">
      <c r="A517" s="59">
        <v>516</v>
      </c>
      <c r="B517" s="319" t="s">
        <v>1586</v>
      </c>
      <c r="C517" s="331" t="s">
        <v>1589</v>
      </c>
      <c r="D517" s="319" t="s">
        <v>1590</v>
      </c>
      <c r="E517" s="319" t="s">
        <v>1684</v>
      </c>
      <c r="F517" s="322" t="s">
        <v>2834</v>
      </c>
      <c r="G517" s="322">
        <v>24.707431</v>
      </c>
      <c r="H517">
        <v>46.673980999999998</v>
      </c>
    </row>
    <row r="518" spans="1:8">
      <c r="A518" s="59">
        <v>517</v>
      </c>
      <c r="B518" s="319" t="s">
        <v>1586</v>
      </c>
      <c r="C518" s="331" t="s">
        <v>1591</v>
      </c>
      <c r="D518" s="319" t="s">
        <v>1592</v>
      </c>
      <c r="E518" s="319" t="s">
        <v>1684</v>
      </c>
      <c r="F518" s="322" t="s">
        <v>2835</v>
      </c>
      <c r="G518" s="322">
        <v>24.707564999999999</v>
      </c>
      <c r="H518">
        <v>46.674287999999997</v>
      </c>
    </row>
    <row r="519" spans="1:8">
      <c r="A519" s="59">
        <v>518</v>
      </c>
      <c r="B519" s="319" t="s">
        <v>1586</v>
      </c>
      <c r="C519" s="331" t="s">
        <v>1593</v>
      </c>
      <c r="D519" s="319" t="s">
        <v>1594</v>
      </c>
      <c r="E519" s="319" t="s">
        <v>1684</v>
      </c>
      <c r="F519" s="322" t="s">
        <v>2835</v>
      </c>
      <c r="G519" s="322">
        <v>24.707564999999999</v>
      </c>
      <c r="H519">
        <v>46.674287999999997</v>
      </c>
    </row>
    <row r="520" spans="1:8">
      <c r="A520" s="59">
        <v>519</v>
      </c>
      <c r="B520" s="319" t="s">
        <v>1586</v>
      </c>
      <c r="C520" s="331" t="s">
        <v>1595</v>
      </c>
      <c r="D520" s="319" t="s">
        <v>1596</v>
      </c>
      <c r="E520" s="319" t="s">
        <v>1684</v>
      </c>
      <c r="F520" s="322" t="s">
        <v>2836</v>
      </c>
      <c r="G520" s="322">
        <v>24.707649</v>
      </c>
      <c r="H520">
        <v>46.674497000000002</v>
      </c>
    </row>
    <row r="521" spans="1:8">
      <c r="A521" s="59">
        <v>520</v>
      </c>
      <c r="B521" s="319" t="s">
        <v>1586</v>
      </c>
      <c r="C521" s="331" t="s">
        <v>1597</v>
      </c>
      <c r="D521" s="319" t="s">
        <v>1598</v>
      </c>
      <c r="E521" s="319" t="s">
        <v>1684</v>
      </c>
      <c r="F521" s="322" t="s">
        <v>2837</v>
      </c>
      <c r="G521" s="322">
        <v>24.707433999999999</v>
      </c>
      <c r="H521">
        <v>46.673983999999997</v>
      </c>
    </row>
    <row r="522" spans="1:8">
      <c r="A522" s="59">
        <v>521</v>
      </c>
      <c r="B522" s="317" t="s">
        <v>1599</v>
      </c>
      <c r="C522" s="317" t="s">
        <v>1600</v>
      </c>
      <c r="D522" s="317" t="s">
        <v>1601</v>
      </c>
      <c r="E522" s="317" t="s">
        <v>1685</v>
      </c>
      <c r="F522" s="317" t="s">
        <v>2838</v>
      </c>
      <c r="G522" s="317">
        <v>24.691222</v>
      </c>
      <c r="H522">
        <v>46.762172</v>
      </c>
    </row>
    <row r="523" spans="1:8">
      <c r="A523" s="59">
        <v>522</v>
      </c>
      <c r="B523" s="317" t="s">
        <v>1599</v>
      </c>
      <c r="C523" s="317" t="s">
        <v>1602</v>
      </c>
      <c r="D523" s="317" t="s">
        <v>1603</v>
      </c>
      <c r="E523" s="317" t="s">
        <v>1685</v>
      </c>
      <c r="F523" s="317" t="s">
        <v>2839</v>
      </c>
      <c r="G523" s="317">
        <v>24.690875999999999</v>
      </c>
      <c r="H523">
        <v>46.762377000000001</v>
      </c>
    </row>
    <row r="524" spans="1:8">
      <c r="A524" s="59">
        <v>523</v>
      </c>
      <c r="B524" s="317" t="s">
        <v>1599</v>
      </c>
      <c r="C524" s="317" t="s">
        <v>1604</v>
      </c>
      <c r="D524" s="317" t="s">
        <v>1605</v>
      </c>
      <c r="E524" s="317" t="s">
        <v>1685</v>
      </c>
      <c r="F524" s="317" t="s">
        <v>2840</v>
      </c>
      <c r="G524" s="317">
        <v>24.691068999999999</v>
      </c>
      <c r="H524">
        <v>46.762200999999997</v>
      </c>
    </row>
    <row r="525" spans="1:8">
      <c r="A525" s="59">
        <v>524</v>
      </c>
      <c r="B525" s="317" t="s">
        <v>1599</v>
      </c>
      <c r="C525" s="317" t="s">
        <v>1606</v>
      </c>
      <c r="D525" s="317" t="s">
        <v>1607</v>
      </c>
      <c r="E525" s="317" t="s">
        <v>1685</v>
      </c>
      <c r="F525" s="317" t="s">
        <v>2841</v>
      </c>
      <c r="G525" s="317">
        <v>24.690729999999999</v>
      </c>
      <c r="H525">
        <v>46.762380999999998</v>
      </c>
    </row>
    <row r="526" spans="1:8">
      <c r="A526" s="59">
        <v>525</v>
      </c>
      <c r="B526" s="317" t="s">
        <v>1608</v>
      </c>
      <c r="C526" s="317" t="s">
        <v>1609</v>
      </c>
      <c r="D526" s="317" t="s">
        <v>1610</v>
      </c>
      <c r="E526" s="317" t="s">
        <v>1686</v>
      </c>
      <c r="F526" s="317" t="s">
        <v>2842</v>
      </c>
      <c r="G526" s="317">
        <v>24.682107999999999</v>
      </c>
      <c r="H526">
        <v>46.695687999999997</v>
      </c>
    </row>
    <row r="527" spans="1:8">
      <c r="A527" s="59">
        <v>526</v>
      </c>
      <c r="B527" s="317" t="s">
        <v>1608</v>
      </c>
      <c r="C527" s="317" t="s">
        <v>1611</v>
      </c>
      <c r="D527" s="317" t="s">
        <v>1612</v>
      </c>
      <c r="E527" s="317" t="s">
        <v>1686</v>
      </c>
      <c r="F527" s="317" t="s">
        <v>2843</v>
      </c>
      <c r="G527" s="317">
        <v>24.68197</v>
      </c>
      <c r="H527">
        <v>46.695988</v>
      </c>
    </row>
    <row r="528" spans="1:8">
      <c r="A528" s="59">
        <v>527</v>
      </c>
      <c r="B528" s="317" t="s">
        <v>1608</v>
      </c>
      <c r="C528" s="317" t="s">
        <v>1613</v>
      </c>
      <c r="D528" s="317" t="s">
        <v>1614</v>
      </c>
      <c r="E528" s="317" t="s">
        <v>1686</v>
      </c>
      <c r="F528" s="317" t="s">
        <v>2844</v>
      </c>
      <c r="G528" s="317">
        <v>24.681716999999999</v>
      </c>
      <c r="H528">
        <v>46.695872999999999</v>
      </c>
    </row>
    <row r="529" spans="1:8">
      <c r="A529" s="59">
        <v>528</v>
      </c>
      <c r="B529" s="317" t="s">
        <v>1608</v>
      </c>
      <c r="C529" s="317" t="s">
        <v>1615</v>
      </c>
      <c r="D529" s="317" t="s">
        <v>1616</v>
      </c>
      <c r="E529" s="317" t="s">
        <v>1686</v>
      </c>
      <c r="F529" s="317" t="s">
        <v>2845</v>
      </c>
      <c r="G529" s="317">
        <v>24.681484000000001</v>
      </c>
      <c r="H529">
        <v>46.696041000000001</v>
      </c>
    </row>
    <row r="530" spans="1:8">
      <c r="A530" s="59">
        <v>529</v>
      </c>
      <c r="B530" s="317" t="s">
        <v>1617</v>
      </c>
      <c r="C530" s="317" t="s">
        <v>1618</v>
      </c>
      <c r="D530" s="317" t="s">
        <v>1619</v>
      </c>
      <c r="E530" s="317" t="s">
        <v>1687</v>
      </c>
      <c r="F530" s="317" t="s">
        <v>2846</v>
      </c>
      <c r="G530" s="317">
        <v>24.692125000000001</v>
      </c>
      <c r="H530">
        <v>46.717036</v>
      </c>
    </row>
    <row r="531" spans="1:8">
      <c r="A531" s="59">
        <v>530</v>
      </c>
      <c r="B531" s="317" t="s">
        <v>1617</v>
      </c>
      <c r="C531" s="317" t="s">
        <v>1620</v>
      </c>
      <c r="D531" s="317" t="s">
        <v>1621</v>
      </c>
      <c r="E531" s="317" t="s">
        <v>1687</v>
      </c>
      <c r="F531" s="317" t="s">
        <v>2847</v>
      </c>
      <c r="G531" s="317">
        <v>24.691797999999999</v>
      </c>
      <c r="H531">
        <v>46.716894000000003</v>
      </c>
    </row>
    <row r="532" spans="1:8">
      <c r="A532" s="59">
        <v>531</v>
      </c>
      <c r="B532" s="317" t="s">
        <v>1622</v>
      </c>
      <c r="C532" s="317" t="s">
        <v>1623</v>
      </c>
      <c r="D532" s="317" t="s">
        <v>1624</v>
      </c>
      <c r="E532" s="317" t="s">
        <v>1688</v>
      </c>
      <c r="F532" s="317" t="s">
        <v>2848</v>
      </c>
      <c r="G532" s="317">
        <v>24.659196000000001</v>
      </c>
      <c r="H532">
        <v>46.701025999999999</v>
      </c>
    </row>
    <row r="533" spans="1:8">
      <c r="A533" s="59">
        <v>532</v>
      </c>
      <c r="B533" s="317" t="s">
        <v>1622</v>
      </c>
      <c r="C533" s="317" t="s">
        <v>1625</v>
      </c>
      <c r="D533" s="317" t="s">
        <v>1626</v>
      </c>
      <c r="E533" s="317" t="s">
        <v>1688</v>
      </c>
      <c r="F533" s="317" t="s">
        <v>2849</v>
      </c>
      <c r="G533" s="317">
        <v>24.659192999999998</v>
      </c>
      <c r="H533">
        <v>46.700918999999999</v>
      </c>
    </row>
    <row r="534" spans="1:8">
      <c r="A534" s="59">
        <v>533</v>
      </c>
      <c r="B534" s="317" t="s">
        <v>1627</v>
      </c>
      <c r="C534" s="317" t="s">
        <v>1628</v>
      </c>
      <c r="D534" s="317" t="s">
        <v>1629</v>
      </c>
      <c r="E534" s="317" t="s">
        <v>1689</v>
      </c>
      <c r="F534" s="317" t="s">
        <v>2850</v>
      </c>
      <c r="G534" s="317">
        <v>24.674168999999999</v>
      </c>
      <c r="H534">
        <v>46.691204999999997</v>
      </c>
    </row>
    <row r="535" spans="1:8">
      <c r="A535" s="59">
        <v>534</v>
      </c>
      <c r="B535" s="317" t="s">
        <v>1627</v>
      </c>
      <c r="C535" s="317" t="s">
        <v>1630</v>
      </c>
      <c r="D535" s="317" t="s">
        <v>1631</v>
      </c>
      <c r="E535" s="317" t="s">
        <v>1689</v>
      </c>
      <c r="F535" s="317" t="s">
        <v>2851</v>
      </c>
      <c r="G535" s="317">
        <v>24.674075999999999</v>
      </c>
      <c r="H535">
        <v>46.69106</v>
      </c>
    </row>
    <row r="536" spans="1:8">
      <c r="A536" s="59">
        <v>535</v>
      </c>
      <c r="B536" s="317" t="s">
        <v>1632</v>
      </c>
      <c r="C536" s="317" t="s">
        <v>1633</v>
      </c>
      <c r="D536" s="317" t="s">
        <v>1634</v>
      </c>
      <c r="E536" s="317" t="s">
        <v>1690</v>
      </c>
      <c r="F536" s="317" t="s">
        <v>2852</v>
      </c>
      <c r="G536" s="317">
        <v>24.650556000000002</v>
      </c>
      <c r="H536">
        <v>46.735111000000003</v>
      </c>
    </row>
    <row r="537" spans="1:8">
      <c r="A537" s="59">
        <v>536</v>
      </c>
      <c r="B537" s="317" t="s">
        <v>1632</v>
      </c>
      <c r="C537" s="317" t="s">
        <v>1635</v>
      </c>
      <c r="D537" s="317" t="s">
        <v>1636</v>
      </c>
      <c r="E537" s="317" t="s">
        <v>1690</v>
      </c>
      <c r="F537" s="317" t="s">
        <v>2853</v>
      </c>
      <c r="G537" s="317">
        <v>24.650545999999999</v>
      </c>
      <c r="H537">
        <v>46.735357999999998</v>
      </c>
    </row>
    <row r="538" spans="1:8">
      <c r="A538" s="59">
        <v>537</v>
      </c>
      <c r="B538" s="317" t="s">
        <v>1632</v>
      </c>
      <c r="C538" s="317" t="s">
        <v>1637</v>
      </c>
      <c r="D538" s="317" t="s">
        <v>1638</v>
      </c>
      <c r="E538" s="317" t="s">
        <v>1690</v>
      </c>
      <c r="F538" s="317" t="s">
        <v>2854</v>
      </c>
      <c r="G538" s="317">
        <v>24.650312</v>
      </c>
      <c r="H538">
        <v>46.735256999999997</v>
      </c>
    </row>
    <row r="539" spans="1:8">
      <c r="A539" s="59">
        <v>538</v>
      </c>
      <c r="B539" s="317" t="s">
        <v>1632</v>
      </c>
      <c r="C539" s="317" t="s">
        <v>1639</v>
      </c>
      <c r="D539" s="317" t="s">
        <v>1640</v>
      </c>
      <c r="E539" s="317" t="s">
        <v>1690</v>
      </c>
      <c r="F539" s="317" t="s">
        <v>2855</v>
      </c>
      <c r="G539" s="317">
        <v>24.650186999999999</v>
      </c>
      <c r="H539">
        <v>46.735419</v>
      </c>
    </row>
    <row r="540" spans="1:8">
      <c r="A540" s="59">
        <v>539</v>
      </c>
      <c r="B540" s="317" t="s">
        <v>1641</v>
      </c>
      <c r="C540" s="317" t="s">
        <v>1642</v>
      </c>
      <c r="D540" s="317" t="s">
        <v>1643</v>
      </c>
      <c r="E540" s="317" t="s">
        <v>1691</v>
      </c>
      <c r="F540" s="317" t="s">
        <v>2856</v>
      </c>
      <c r="G540" s="317">
        <v>24.67895</v>
      </c>
      <c r="H540">
        <v>46.776591000000003</v>
      </c>
    </row>
    <row r="541" spans="1:8">
      <c r="A541" s="59">
        <v>540</v>
      </c>
      <c r="B541" s="317" t="s">
        <v>1641</v>
      </c>
      <c r="C541" s="317" t="s">
        <v>1644</v>
      </c>
      <c r="D541" s="317" t="s">
        <v>1645</v>
      </c>
      <c r="E541" s="317" t="s">
        <v>1691</v>
      </c>
      <c r="F541" s="317" t="s">
        <v>2857</v>
      </c>
      <c r="G541" s="317">
        <v>24.679117999999999</v>
      </c>
      <c r="H541">
        <v>46.776491</v>
      </c>
    </row>
    <row r="542" spans="1:8">
      <c r="A542" s="59">
        <v>541</v>
      </c>
      <c r="B542" s="317" t="s">
        <v>1641</v>
      </c>
      <c r="C542" s="317" t="s">
        <v>1646</v>
      </c>
      <c r="D542" s="317" t="s">
        <v>1647</v>
      </c>
      <c r="E542" s="317" t="s">
        <v>1691</v>
      </c>
      <c r="F542" s="317" t="s">
        <v>2858</v>
      </c>
      <c r="G542" s="317">
        <v>24.679293999999999</v>
      </c>
      <c r="H542">
        <v>46.776457000000001</v>
      </c>
    </row>
    <row r="543" spans="1:8">
      <c r="A543" s="59">
        <v>542</v>
      </c>
      <c r="B543" s="317" t="s">
        <v>1641</v>
      </c>
      <c r="C543" s="317" t="s">
        <v>1648</v>
      </c>
      <c r="D543" s="317" t="s">
        <v>1649</v>
      </c>
      <c r="E543" s="317" t="s">
        <v>1691</v>
      </c>
      <c r="F543" s="317" t="s">
        <v>2859</v>
      </c>
      <c r="G543" s="317">
        <v>24.679490000000001</v>
      </c>
      <c r="H543">
        <v>46.776370999999997</v>
      </c>
    </row>
    <row r="544" spans="1:8">
      <c r="A544" s="59">
        <v>543</v>
      </c>
      <c r="B544" s="317" t="s">
        <v>1650</v>
      </c>
      <c r="C544" s="317" t="s">
        <v>1651</v>
      </c>
      <c r="D544" s="317" t="s">
        <v>1652</v>
      </c>
      <c r="E544" s="317" t="s">
        <v>1692</v>
      </c>
      <c r="F544" s="317" t="s">
        <v>2860</v>
      </c>
      <c r="G544" s="317">
        <v>24.635083000000002</v>
      </c>
      <c r="H544">
        <v>46.692444000000002</v>
      </c>
    </row>
    <row r="545" spans="1:8">
      <c r="A545" s="59">
        <v>544</v>
      </c>
      <c r="B545" s="317" t="s">
        <v>1650</v>
      </c>
      <c r="C545" s="317" t="s">
        <v>1653</v>
      </c>
      <c r="D545" s="317" t="s">
        <v>1654</v>
      </c>
      <c r="E545" s="317" t="s">
        <v>1692</v>
      </c>
      <c r="F545" s="317" t="s">
        <v>2861</v>
      </c>
      <c r="G545" s="317">
        <v>24.635093000000001</v>
      </c>
      <c r="H545">
        <v>46.692560999999998</v>
      </c>
    </row>
    <row r="546" spans="1:8">
      <c r="A546" s="59">
        <v>545</v>
      </c>
      <c r="B546" s="317" t="s">
        <v>1650</v>
      </c>
      <c r="C546" s="317" t="s">
        <v>1655</v>
      </c>
      <c r="D546" s="317" t="s">
        <v>1656</v>
      </c>
      <c r="E546" s="317" t="s">
        <v>1692</v>
      </c>
      <c r="F546" s="317" t="s">
        <v>2862</v>
      </c>
      <c r="G546" s="317">
        <v>24.63513</v>
      </c>
      <c r="H546">
        <v>46.692633000000001</v>
      </c>
    </row>
    <row r="547" spans="1:8">
      <c r="A547" s="59">
        <v>546</v>
      </c>
      <c r="B547" s="317" t="s">
        <v>1650</v>
      </c>
      <c r="C547" s="317" t="s">
        <v>1657</v>
      </c>
      <c r="D547" s="317" t="s">
        <v>1658</v>
      </c>
      <c r="E547" s="317" t="s">
        <v>1692</v>
      </c>
      <c r="F547" s="317" t="s">
        <v>2863</v>
      </c>
      <c r="G547" s="317">
        <v>24.635131999999999</v>
      </c>
      <c r="H547">
        <v>46.692762999999999</v>
      </c>
    </row>
  </sheetData>
  <autoFilter ref="A1:F547" xr:uid="{1E0E6D6E-0929-4901-8BFA-BF4CEE77664D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7D196A1-6E05-4F03-8DE4-DCE683D74E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الكاميرات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HPProBook440G9</dc:creator>
  <cp:lastModifiedBy>Office</cp:lastModifiedBy>
  <dcterms:created xsi:type="dcterms:W3CDTF">2015-06-05T18:17:20Z</dcterms:created>
  <dcterms:modified xsi:type="dcterms:W3CDTF">2026-01-12T08:33:13Z</dcterms:modified>
</cp:coreProperties>
</file>